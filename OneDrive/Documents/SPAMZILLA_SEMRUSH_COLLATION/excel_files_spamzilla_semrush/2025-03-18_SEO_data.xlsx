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46" documentId="11_1F014239AE31921FD2AEB5A71C6D52829757C0B7" xr6:coauthVersionLast="47" xr6:coauthVersionMax="47" xr10:uidLastSave="{84EFD807-0E20-4DE0-8919-39E844642D01}"/>
  <bookViews>
    <workbookView xWindow="9510" yWindow="0" windowWidth="9780" windowHeight="10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52" i="1"/>
  <c r="P51" i="1"/>
  <c r="P7" i="1"/>
  <c r="P49" i="1"/>
  <c r="P48" i="1"/>
  <c r="P44" i="1"/>
  <c r="P46" i="1"/>
  <c r="P45" i="1"/>
  <c r="P4" i="1"/>
  <c r="P36" i="1"/>
  <c r="P10" i="1"/>
  <c r="P41" i="1"/>
  <c r="P40" i="1"/>
  <c r="P39" i="1"/>
  <c r="P38" i="1"/>
  <c r="P37" i="1"/>
  <c r="P14" i="1"/>
  <c r="P53" i="1"/>
  <c r="P47" i="1"/>
  <c r="P24" i="1"/>
  <c r="P33" i="1"/>
  <c r="P31" i="1"/>
  <c r="P30" i="1"/>
  <c r="P50" i="1"/>
  <c r="P28" i="1"/>
  <c r="P27" i="1"/>
  <c r="P29" i="1"/>
  <c r="P25" i="1"/>
  <c r="P32" i="1"/>
  <c r="P11" i="1"/>
  <c r="P22" i="1"/>
  <c r="P21" i="1"/>
  <c r="P20" i="1"/>
  <c r="P19" i="1"/>
  <c r="P26" i="1"/>
  <c r="P17" i="1"/>
  <c r="P16" i="1"/>
  <c r="P15" i="1"/>
  <c r="P8" i="1"/>
  <c r="P13" i="1"/>
  <c r="P12" i="1"/>
  <c r="P23" i="1"/>
  <c r="P43" i="1"/>
  <c r="P9" i="1"/>
  <c r="P18" i="1"/>
  <c r="P35" i="1"/>
  <c r="P34" i="1"/>
  <c r="P6" i="1"/>
  <c r="P42" i="1"/>
</calcChain>
</file>

<file path=xl/sharedStrings.xml><?xml version="1.0" encoding="utf-8"?>
<sst xmlns="http://schemas.openxmlformats.org/spreadsheetml/2006/main" count="335" uniqueCount="207">
  <si>
    <t>Name</t>
  </si>
  <si>
    <t>Source</t>
  </si>
  <si>
    <t>Moz DA</t>
  </si>
  <si>
    <t>SEMRUSH AUTHORITY SCORE (AS)</t>
  </si>
  <si>
    <t>AHREFS DR</t>
  </si>
  <si>
    <t>MAJESTIC TRUST FLOW</t>
  </si>
  <si>
    <t>MAJESTIC CITATION FLOW</t>
  </si>
  <si>
    <t>SEMrush Referring Domains</t>
  </si>
  <si>
    <t>Majestic Referring Domains</t>
  </si>
  <si>
    <t>AHREFS REFERRING WEBSITES</t>
  </si>
  <si>
    <t>SEMrush Backlinks</t>
  </si>
  <si>
    <t>Majestic Backlinks</t>
  </si>
  <si>
    <t>IPs</t>
  </si>
  <si>
    <t>AHREFS BACKLINKS</t>
  </si>
  <si>
    <t>SZ Score</t>
  </si>
  <si>
    <t>Variance</t>
  </si>
  <si>
    <t>Total Link to Follow Ratio (%)</t>
  </si>
  <si>
    <t>SEMRUSH (Backlinks/Referring domains)</t>
  </si>
  <si>
    <t>MAJESTIC (Backlinks/Referring domains)</t>
  </si>
  <si>
    <t>Age</t>
  </si>
  <si>
    <t>Internal Links</t>
  </si>
  <si>
    <t>External Links</t>
  </si>
  <si>
    <t>External Domains</t>
  </si>
  <si>
    <t>Google Indexed Pages</t>
  </si>
  <si>
    <t>SZ Drops</t>
  </si>
  <si>
    <t>SZ Parked</t>
  </si>
  <si>
    <t>Majestic Topics</t>
  </si>
  <si>
    <t>Majestic Languages</t>
  </si>
  <si>
    <t>English %</t>
  </si>
  <si>
    <t>Second Language</t>
  </si>
  <si>
    <t>Second Language %</t>
  </si>
  <si>
    <t>Language Count</t>
  </si>
  <si>
    <t>AUD</t>
  </si>
  <si>
    <t>USD</t>
  </si>
  <si>
    <t>CATEGORIES</t>
  </si>
  <si>
    <t>jonathanscork.com</t>
  </si>
  <si>
    <t>carrozzecavalli.net</t>
  </si>
  <si>
    <t>spokeandwheeltavern.com</t>
  </si>
  <si>
    <t>mp4kits.com</t>
  </si>
  <si>
    <t>asturianus.org</t>
  </si>
  <si>
    <t>pacificnwdxconvention.com</t>
  </si>
  <si>
    <t>sunrisefarmgifts.com</t>
  </si>
  <si>
    <t>girlgamerdating.com</t>
  </si>
  <si>
    <t>fedupmovie.com</t>
  </si>
  <si>
    <t>sistemistika.net</t>
  </si>
  <si>
    <t>hermitthrushbrewery.com</t>
  </si>
  <si>
    <t>emerilairfryer360.com</t>
  </si>
  <si>
    <t>capefearraptorcenter.org</t>
  </si>
  <si>
    <t>hopstersbrew.com</t>
  </si>
  <si>
    <t>metalworkingfun.com</t>
  </si>
  <si>
    <t>wagonwheeltrails.org</t>
  </si>
  <si>
    <t>cincinnatiearthday.com</t>
  </si>
  <si>
    <t>chinaforeignrelations.net</t>
  </si>
  <si>
    <t>seemamentalhealth.com</t>
  </si>
  <si>
    <t>summeronthehill.org</t>
  </si>
  <si>
    <t>ba-electronics.com</t>
  </si>
  <si>
    <t>styled-system.com</t>
  </si>
  <si>
    <t>linncountyroots.com</t>
  </si>
  <si>
    <t>manifest7.com</t>
  </si>
  <si>
    <t>jamaalmay.com</t>
  </si>
  <si>
    <t>edgertongolfcourse.com</t>
  </si>
  <si>
    <t>badabee.com</t>
  </si>
  <si>
    <t>briancombs.net</t>
  </si>
  <si>
    <t>masbukti.com</t>
  </si>
  <si>
    <t>ichoustonhotel.com</t>
  </si>
  <si>
    <t>marytoddformt.com</t>
  </si>
  <si>
    <t>higherrockradio.org</t>
  </si>
  <si>
    <t>asgamontalcino.com</t>
  </si>
  <si>
    <t>davidlisak.com</t>
  </si>
  <si>
    <t>mnscammersexposed.com</t>
  </si>
  <si>
    <t>fertiglab.com</t>
  </si>
  <si>
    <t>cbdcinsider.com</t>
  </si>
  <si>
    <t>aventurasecurity.com</t>
  </si>
  <si>
    <t>forosocialpanamazonico.com</t>
  </si>
  <si>
    <t>tomtechtodayweb.com</t>
  </si>
  <si>
    <t>cultureyard.net</t>
  </si>
  <si>
    <t>greateastenergy.com</t>
  </si>
  <si>
    <t>rickaroons.com</t>
  </si>
  <si>
    <t>uglycartooncharacters.com</t>
  </si>
  <si>
    <t>acaudio.com</t>
  </si>
  <si>
    <t>sensauratech.com</t>
  </si>
  <si>
    <t>daadumplings.com</t>
  </si>
  <si>
    <t>deutscher-honig.net</t>
  </si>
  <si>
    <t>moneysubsidiary.com</t>
  </si>
  <si>
    <t>ursaextracts.com</t>
  </si>
  <si>
    <t>GoDaddy Auctions</t>
  </si>
  <si>
    <t>Recreation/Food: 24</t>
  </si>
  <si>
    <t>Sports/Equestrian: 21
Regional/Europe: 11</t>
  </si>
  <si>
    <t>Recreation/Travel: 16
Business: 11</t>
  </si>
  <si>
    <t>Society: 15
Computers/Software/Shareware: 11
Computers/Programming/Languages: 10
Society/Gay  Lesbian  and Bisexual: 9
Games/Board Games: 7</t>
  </si>
  <si>
    <t>Arts/Music: 10
Home/Cooking: 9
Science/Environment: 8
Sports/Golf: 7
Society/People: 7
World/Polski: 7
Business/Textiles and Nonwovens: 7
Recreation/Autos: 7
Recreation/Motorcycles: 6
Arts/Animation: 6</t>
  </si>
  <si>
    <t>Recreation/Radio: 20
Recreation: 14
Society/History: 10</t>
  </si>
  <si>
    <t>Science/Agriculture: 11
Home/Gardening: 6</t>
  </si>
  <si>
    <t>Adult/Computers: 16</t>
  </si>
  <si>
    <t>Computers/News and Media: 16
Health/Conditions and Diseases: 15
Business/Business Services: 12
Business/Marketing and Advertising: 11
Society: 10
Arts/Performing Arts: 9
Shopping/Health: 8
Home/Cooking: 8</t>
  </si>
  <si>
    <t>Sports/Soccer: 8
Sports/Running: 7
Sports/Organizations: 7</t>
  </si>
  <si>
    <t>Science/Environment: 13
News/Newspapers: 13
Recreation/Food: 12
Business/Real Estate: 8
Shopping/Home and Garden: 8
Home/Home Improvement: 8
Society/People: 8
Reference/Education: 8
Business/Construction and Maintenance: 7
Business: 7</t>
  </si>
  <si>
    <t>Home/Cooking: 19
Recreation/Food: 10
Arts/Music: 10</t>
  </si>
  <si>
    <t>Recreation/Outdoors: 15
Health/Animal: 7</t>
  </si>
  <si>
    <t>Science/Environment: 9
News/Newspapers: 7
Recreation/Travel: 6
Shopping: 5
Business: 5
Sports/Baseball: 5
Recreation/Food: 5
Business/Real Estate: 5
Business/Employment: 4
Computers/Internet/On the Web: 4</t>
  </si>
  <si>
    <t>Home/Homemaking: 6
Society/People: 3</t>
  </si>
  <si>
    <t>Sports/Running: 9
Recreation/Travel: 9
Recreation/Outdoors: 7
Regional/North America: 7
Arts/Radio: 6
Recreation/Radio: 5</t>
  </si>
  <si>
    <t>Society: 8
Science/Technology: 5
Games/Puzzles: 5
Sports/Skateboarding: 5
Science/Environment: 3</t>
  </si>
  <si>
    <t>Arts/Literature: 5
Society: 3
Society/People: 3
Society/Religion and Spirituality: 3
Society/Politics: 3
Recreation/Pets: 2
Science/Social Sciences: 2
Regional/Europe: 2
Science/Chemistry: 2
Society/Issues: 2</t>
  </si>
  <si>
    <t>Health/Mental Health: 15
Health/Support Groups: 13
Reference/Education: 13
Society/Organizations: 10
Society/Religion and Spirituality: 9
Health/Occupational Health and Safety: 7
Health/Addictions: 7</t>
  </si>
  <si>
    <t>Reference/Education: 14
Arts/Visual Arts: 8</t>
  </si>
  <si>
    <t>Business/Electronics and Electrical: 23
Recreation/Radio: 14</t>
  </si>
  <si>
    <t>Computers/Programming/Languages: 15
Computers/Data Formats: 8
Sports/Cycling: 7
Computers/Internet/Web Design and Development: 7</t>
  </si>
  <si>
    <t>Society/Genealogy: 10
News/Media Industry: 5</t>
  </si>
  <si>
    <t>Business/Investing: 12</t>
  </si>
  <si>
    <t>Arts/Literature: 17
Arts: 8
Shopping/Visual Arts: 8</t>
  </si>
  <si>
    <t>Recreation/Travel: 8
Sports/Golf: 6</t>
  </si>
  <si>
    <t>Computers/Hacking: 9
Computers/Security: 6
Shopping/Gifts: 5</t>
  </si>
  <si>
    <t>Society/People: 19
Recreation/Humor: 9</t>
  </si>
  <si>
    <t>Recreation/Autos: 8</t>
  </si>
  <si>
    <t>Health/Medicine: 16
Health: 12
Reference/Education: 11
Shopping/Food: 9
Society/Government: 9
Business/Environment: 8
Society/Issues: 8</t>
  </si>
  <si>
    <t>Society/Issues: 7
News/Media Industry: 7
Society/Future: 6
Society/Military: 6
Society/Government: 6
Health/Public Health and Safety: 5
Society/History: 5
Regional/North America: 5
Regional/Asia: 4
Society/Religion and Spirituality: 4</t>
  </si>
  <si>
    <t>Society/Religion and Spirituality: 15
News/Media Industry: 7</t>
  </si>
  <si>
    <t>Business/Agriculture and Forestry: 6
Science/Agriculture: 5</t>
  </si>
  <si>
    <t>Society/Politics: 9
Reference/Education: 8
Society/Gay  Lesbian  and Bisexual: 8
Society/Lifestyle Choices: 8
Society/People: 7
News/Alternative: 7
News/Analysis and Opinion: 6
Shopping/Crafts: 6
Society/Issues: 6
Arts/People: 5</t>
  </si>
  <si>
    <t>Arts/Literature: 6
News/Weblogs: 4
News/Alternative: 4
Arts/People: 3
Computers/Internet/On the Web: 3
Society/People: 3
Society/Politics: 3
Reference/Education: 3
Society/Issues: 3
News/Media Industry: 3</t>
  </si>
  <si>
    <t>Society/Issues: 9
Science/Math: 9
Computers/Data Formats: 7
Science/Social Sciences: 7
News/Weather: 6
Reference/Education: 5
Society/Politics: 5
Computers/Artificial Intelligence: 5
Computers/Computer Science/Theoretical: 4
News/Media Industry: 4</t>
  </si>
  <si>
    <t>Society/Issues: 8
Society/Religion and Spirituality: 6
Society/Politics: 6
Science/Anomalies and Alternative Science: 5
Computers/Data Formats: 5
Health/Alternative: 5
News/Magazines and E-zines: 4
Society/Future: 4
Health/Public Health and Safety: 4
Science/Astronomy: 4</t>
  </si>
  <si>
    <t>Computers/Security: 10</t>
  </si>
  <si>
    <t>Society/Politics: 21
Society/Philanthropy: 12
Recreation/Travel: 12
Society/Religion and Spirituality: 10</t>
  </si>
  <si>
    <t>Home/Gardening: 5
Home/Family: 4
Arts/Visual Arts: 4
Shopping/Home and Garden: 3
Sports/Baseball: 2
Recreation/Pets: 2
Regional/Europe: 2</t>
  </si>
  <si>
    <t>Reference/Education: 8
Arts/Organizations: 7
Computers/Internet: 7
Regional/Asia: 6
Society: 5
Shopping/Directories: 5</t>
  </si>
  <si>
    <t>Games/Video Games/Shooter: 4
Society: 4
Business/Automotive: 4
Recreation/Autos: 4
Arts/Animation: 3
Science/Environment: 3
Sports/Golf: 3
Business/Textiles and Nonwovens: 3
Society/People: 3
World/Polski: 3</t>
  </si>
  <si>
    <t>Health/Conditions and Diseases: 13
Society/Government: 7
Health/Alternative: 6
Health/Fitness: 6
Reference/Education: 6</t>
  </si>
  <si>
    <t>Computers/Software/Directories: 7
Arts/Movies: 5
Regional/North America: 5
Arts/Crafts: 5
Computers/Internet/E-mail: 3
Recreation/Pets: 3
Society/Politics: 3
Arts/Visual Arts: 2
Society/Religion and Spirituality: 2</t>
  </si>
  <si>
    <t>Reference/Education: 12
Science/Social Sciences: 8
Computers/Computer Science/Theoretical: 7
Health/News and Media: 6</t>
  </si>
  <si>
    <t>Arts/Music: 13
Society/Religion and Spirituality: 6</t>
  </si>
  <si>
    <t>Recreation/Travel: 7
Shopping/Food: 7
Society/Philosophy: 5
Society/Politics: 5
Recreation/Food: 5
Home/Homemaking: 4
News/Media Industry: 4
Society/History: 4
Home/Cooking: 4
Society/People: 4</t>
  </si>
  <si>
    <t>News/Journalism: 5
Society/Politics: 5
Reference/Education: 3
Recreation/Motorcycles: 3
Arts/Visual Arts: 3
Home/Gardening: 3
Recreation/Autos: 3
Society: 3
Society/Philanthropy: 2
Society/Subcultures: 2</t>
  </si>
  <si>
    <t>Society/Religion and Spirituality: 5
Shopping/Clothing: 5
Health/Nutrition: 5
Games/Video Games/Developers and Publishers: 5
Arts/Music: 4
Health/Dentistry: 4
Regional/North America: 4
Computers/Internet/E-mail: 4
Science/Biology: 3
Computers/Internet/On the Web: 3</t>
  </si>
  <si>
    <t>Recreation/Food: 6
Science/Environment: 2</t>
  </si>
  <si>
    <t>English: 100%</t>
  </si>
  <si>
    <t>Dutch: 46.3%
English: 25.8%
Hungarian: 14.8%
Italian: 12.3%
German: 0.5%</t>
  </si>
  <si>
    <t>English: 90.6%
French: 2.9%
German: 1.8%
Portuguese: 1.3%
Finnish: 0.8%
Hungarian: 0.5%
Indonesian: 0.5%
Korean: 0.5%
Bengali: 0.2%
Lithuanian: 0.2%</t>
  </si>
  <si>
    <t>English: 94.7%
Spanish: 2.9%
French: 1.8%
Galician: 0.2%
Catalan: 0.1%
Russian: 0.1%</t>
  </si>
  <si>
    <t>English: 97.1%
Czech: 0.8%
German: 0.8%
Spanish: 0.8%
Russian: 0.2%</t>
  </si>
  <si>
    <t>English: 97.9%
Russian: 1%
Spanish: 1%</t>
  </si>
  <si>
    <t>English: 89.5%
Spanish: 2.6%
French: 2%
German: 1.5%
Dutch: 1.3%
Polish: 0.7%
Portuguese: 0.3%
Italian: 0.2%
Turkish: 0.2%
Japanese: 0.2%</t>
  </si>
  <si>
    <t>English: 51.2%
Italian: 29.2%
Polish: 17%
Portuguese: 2.4%</t>
  </si>
  <si>
    <t>English: 99.4%
French: 0.2%
Japanese: 0.2%</t>
  </si>
  <si>
    <t>English: 98%
Spanish: 1.1%
German: 0.2%
Bulgarian: 0.1%</t>
  </si>
  <si>
    <t>English: 94.1%
Czech: 1.6%
Danish: 1.6%
Dutch: 1.6%
Spanish: 0.8%</t>
  </si>
  <si>
    <t>English: 99%
German: 0.9%</t>
  </si>
  <si>
    <t>English: 98.7%
Arabic: 0.2%
Spanish: 0.1%
French: 0.1%
Russian: 0.1%
Slovak: 0.1%
Vietnamese: 0.1%</t>
  </si>
  <si>
    <t>English: 60.7%
Indonesian: 36.7%
Korean: 1.2%
Portuguese: 1.2%</t>
  </si>
  <si>
    <t>English: 93.7%
French: 4.1%
Italian: 2%</t>
  </si>
  <si>
    <t>English: 91.5%
Chinese: 2%
Japanese: 1.8%
Russian: 1.8%
French: 0.4%
Turkish: 0.2%
Spanish: 0.1%
Portuguese: 0.1%
Arabic: 0.1%
Thai: 0.1%</t>
  </si>
  <si>
    <t>English: 99.8%</t>
  </si>
  <si>
    <t>English: 87.7%
French: 8.1%
German: 2%
Spanish: 2%</t>
  </si>
  <si>
    <t>English: 74.5%
Russian: 16%
German: 1.7%
French: 1.5%
Spanish: 1.2%
Polish: 1.1%
Romanian: 0.7%
Latin: 0.7%
Japanese: 0.4%
Serbian: 0.4%</t>
  </si>
  <si>
    <t>Korean: 85.1%
English: 11.6%
Chinese: 2.3%
French: 0.1%
Indonesian: 0.1%
Spanish: 0.1%</t>
  </si>
  <si>
    <t>English: 96.3%
Italian: 2.7%
Spanish: 0.9%</t>
  </si>
  <si>
    <t>English: 67.6%
Russian: 6.1%
German: 4.6%
Arabic: 3%
Indonesian: 3%
Azerbaijani: 1.5%
Bengali: 1.5%
Greek: 1.5%
Hungarian: 1.5%
Japanese: 1.5%</t>
  </si>
  <si>
    <t>Italian: 72%
English: 27.9%</t>
  </si>
  <si>
    <t>English: 98.1%
French: 0.6%
Chinese: 0.2%
Russian: 0.2%
Indonesian: 0.1%
Italian: 0.1%
Spanish: 0.1%</t>
  </si>
  <si>
    <t>English: 98.6%
Dutch: 0.6%
Russian: 0.6%</t>
  </si>
  <si>
    <t>English: 99.3%
Norwegian: 0.6%</t>
  </si>
  <si>
    <t>English: 72.3%
German: 9.5%
Spanish: 7.3%
Czech: 3.6%
Slovak: 2.2%
French: 1.7%
Hungarian: 0.4%
Italian: 0.4%
Japanese: 0.4%
Polish: 0.4%</t>
  </si>
  <si>
    <t>English: 79.5%
Latin: 19.9%
Hungarian: 0.3%</t>
  </si>
  <si>
    <t>Portuguese: 39.8%
Spanish: 29.5%
French: 21.6%
English: 7.4%
Dutch: 0.4%
German: 0.3%
Italian: 0.3%
Georgian: 0.2%
Catalan: 0.1%</t>
  </si>
  <si>
    <t>English: 89.4%
Chinese: 3.2%
Russian: 2.1%
German: 1.3%
Spanish: 1.3%
Thai: 0.8%
Vietnamese: 0.8%
French: 0.2%
Georgian: 0.2%
Turkish: 0.2%</t>
  </si>
  <si>
    <t>English: 87.5%
Arabic: 4.1%
German: 4.1%
Spanish: 4.1%</t>
  </si>
  <si>
    <t>English: 99.8%
Spanish: 0.1%</t>
  </si>
  <si>
    <t>English: 94.8%
German: 1.9%
Russian: 1%
Portuguese: 0.7%
Polish: 0.2%
Vietnamese: 0.2%
Chinese: 0.2%
Thai: 0.2%
Dutch: 0.1%
Korean: 0.1%</t>
  </si>
  <si>
    <t>Russian: 79.1%
English: 20.8%</t>
  </si>
  <si>
    <t>English: 88.5%
Thai: 7%
Dutch: 1.2%
German: 1.2%
Russian: 1.2%
Polish: 0.6%</t>
  </si>
  <si>
    <t>English: 97.7%
Russian: 2.2%</t>
  </si>
  <si>
    <t>English: 40.5%
Chinese: 18.9%
German: 18.9%
Indonesian: 13.5%
French: 5.4%
Thai: 2.7%</t>
  </si>
  <si>
    <t>English: 71.8%
Russian: 13.9%
Arabic: 11.9%
Spanish: 0.6%
Japanese: 0.5%
French: 0.4%
Indonesian: 0.3%
Thai: 0.2%
Hindi: 0.1%
Vietnamese: 0.1%</t>
  </si>
  <si>
    <t>English: 99.2%
Japanese: 0.7%</t>
  </si>
  <si>
    <t>None</t>
  </si>
  <si>
    <t>dutch</t>
  </si>
  <si>
    <t>french</t>
  </si>
  <si>
    <t>spanish</t>
  </si>
  <si>
    <t>czech</t>
  </si>
  <si>
    <t>russian</t>
  </si>
  <si>
    <t>italian</t>
  </si>
  <si>
    <t>german</t>
  </si>
  <si>
    <t>arabic</t>
  </si>
  <si>
    <t>indonesian</t>
  </si>
  <si>
    <t>chinese</t>
  </si>
  <si>
    <t>korean</t>
  </si>
  <si>
    <t>norwegian</t>
  </si>
  <si>
    <t>latin</t>
  </si>
  <si>
    <t>portuguese</t>
  </si>
  <si>
    <t>thai</t>
  </si>
  <si>
    <t>japanese</t>
  </si>
  <si>
    <t>Domain Info</t>
  </si>
  <si>
    <t>Authority Metrics</t>
  </si>
  <si>
    <t>Majestic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</si>
  <si>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</si>
  <si>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</si>
  <si>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</si>
  <si>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</si>
  <si>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</si>
  <si>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</si>
  <si>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</si>
  <si>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NOTES</t>
  </si>
  <si>
    <t xml:space="preserve">Characterised as a link farm by SEMRUSH (However, only 52 domains). </t>
  </si>
  <si>
    <t xml:space="preserve">Classified as a link farm as well. (Abnormal amount of backlinks to referring domains.). Linking to an SEO promotional site. </t>
  </si>
  <si>
    <t>Looks legit, however, needs deeper analysis on where to get the link juice/ authority is going to come from.</t>
  </si>
  <si>
    <t>High amount of outbound backlinks to other sites producyts on the same day (manipulative potentially in the eyes of google, or did this improve the searcher experience?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</si>
</sst>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1" xfId="0" applyNumberFormat="1" applyBorder="1"/>
    <xf numFmtId="164" fontId="0" fillId="0" borderId="1" xfId="0" applyNumberFormat="1" applyBorder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0" xfId="0" applyBorder="1"/>
    <xf numFmtId="10" fontId="0" fillId="0" borderId="2" xfId="0" applyNumberFormat="1" applyBorder="1"/>
    <xf numFmtId="164" fontId="0" fillId="0" borderId="2" xfId="0" applyNumberFormat="1" applyBorder="1"/>
    <xf numFmtId="0" fontId="0" fillId="12" borderId="0" xfId="0" applyFill="1"/>
    <xf numFmtId="0" fontId="2" fillId="0" borderId="0" xfId="0" applyFont="1"/>
    <xf numFmtId="0" fontId="2" fillId="0" borderId="0" xfId="0" applyFont="1" applyBorder="1"/>
    <xf numFmtId="0" fontId="2" fillId="12" borderId="0" xfId="0" applyFont="1" applyFill="1"/>
    <xf numFmtId="10" fontId="0" fillId="12" borderId="1" xfId="0" applyNumberFormat="1" applyFill="1" applyBorder="1"/>
    <xf numFmtId="164" fontId="0" fillId="12" borderId="1" xfId="0" applyNumberFormat="1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J53" totalsRowShown="0">
  <autoFilter ref="A2:AJ53" xr:uid="{00000000-0009-0000-0100-000001000000}">
    <filterColumn colId="3">
      <filters>
        <filter val="10"/>
        <filter val="11"/>
        <filter val="12"/>
        <filter val="13"/>
        <filter val="14"/>
        <filter val="15"/>
        <filter val="16"/>
        <filter val="20"/>
        <filter val="21"/>
        <filter val="22"/>
        <filter val="29"/>
        <filter val="9"/>
      </filters>
    </filterColumn>
  </autoFilter>
  <sortState xmlns:xlrd2="http://schemas.microsoft.com/office/spreadsheetml/2017/richdata2" ref="A4:AI53">
    <sortCondition descending="1" ref="D2:D53"/>
  </sortState>
  <tableColumns count="36">
    <tableColumn id="1" xr3:uid="{00000000-0010-0000-0000-000001000000}" name="Name"/>
    <tableColumn id="2" xr3:uid="{00000000-0010-0000-0000-000002000000}" name="Source"/>
    <tableColumn id="3" xr3:uid="{00000000-0010-0000-0000-000003000000}" name="Moz DA"/>
    <tableColumn id="4" xr3:uid="{00000000-0010-0000-0000-000004000000}" name="SEMRUSH AUTHORITY SCORE (AS)"/>
    <tableColumn id="5" xr3:uid="{00000000-0010-0000-0000-000005000000}" name="AHREFS DR"/>
    <tableColumn id="6" xr3:uid="{00000000-0010-0000-0000-000006000000}" name="MAJESTIC TRUST FLOW"/>
    <tableColumn id="7" xr3:uid="{00000000-0010-0000-0000-000007000000}" name="MAJESTIC CITATION FLOW"/>
    <tableColumn id="8" xr3:uid="{00000000-0010-0000-0000-000008000000}" name="SEMrush Referring Domains"/>
    <tableColumn id="9" xr3:uid="{00000000-0010-0000-0000-000009000000}" name="Majestic Referring Domains"/>
    <tableColumn id="10" xr3:uid="{00000000-0010-0000-0000-00000A000000}" name="AHREFS REFERRING WEBSITES"/>
    <tableColumn id="11" xr3:uid="{00000000-0010-0000-0000-00000B000000}" name="SEMrush Backlinks"/>
    <tableColumn id="12" xr3:uid="{00000000-0010-0000-0000-00000C000000}" name="Majestic Backlinks"/>
    <tableColumn id="13" xr3:uid="{00000000-0010-0000-0000-00000D000000}" name="IPs"/>
    <tableColumn id="14" xr3:uid="{00000000-0010-0000-0000-00000E000000}" name="AHREFS BACKLINKS"/>
    <tableColumn id="15" xr3:uid="{00000000-0010-0000-0000-00000F000000}" name="SZ Score"/>
    <tableColumn id="16" xr3:uid="{00000000-0010-0000-0000-000010000000}" name="Variance"/>
    <tableColumn id="17" xr3:uid="{00000000-0010-0000-0000-000011000000}" name="Total Link to Follow Ratio (%)"/>
    <tableColumn id="18" xr3:uid="{00000000-0010-0000-0000-000012000000}" name="SEMRUSH (Backlinks/Referring domains)"/>
    <tableColumn id="19" xr3:uid="{00000000-0010-0000-0000-000013000000}" name="MAJESTIC (Backlinks/Referring domains)"/>
    <tableColumn id="20" xr3:uid="{00000000-0010-0000-0000-000014000000}" name="Age"/>
    <tableColumn id="21" xr3:uid="{00000000-0010-0000-0000-000015000000}" name="Internal Links"/>
    <tableColumn id="22" xr3:uid="{00000000-0010-0000-0000-000016000000}" name="External Links"/>
    <tableColumn id="23" xr3:uid="{00000000-0010-0000-0000-000017000000}" name="External Domains"/>
    <tableColumn id="24" xr3:uid="{00000000-0010-0000-0000-000018000000}" name="Google Indexed Pages"/>
    <tableColumn id="25" xr3:uid="{00000000-0010-0000-0000-000019000000}" name="SZ Drops"/>
    <tableColumn id="26" xr3:uid="{00000000-0010-0000-0000-00001A000000}" name="SZ Parked"/>
    <tableColumn id="27" xr3:uid="{00000000-0010-0000-0000-00001B000000}" name="Majestic Topics"/>
    <tableColumn id="28" xr3:uid="{00000000-0010-0000-0000-00001C000000}" name="Majestic Languages"/>
    <tableColumn id="29" xr3:uid="{00000000-0010-0000-0000-00001D000000}" name="English %"/>
    <tableColumn id="30" xr3:uid="{00000000-0010-0000-0000-00001E000000}" name="Second Language"/>
    <tableColumn id="31" xr3:uid="{00000000-0010-0000-0000-00001F000000}" name="Second Language %"/>
    <tableColumn id="32" xr3:uid="{00000000-0010-0000-0000-000020000000}" name="Language Count"/>
    <tableColumn id="33" xr3:uid="{00000000-0010-0000-0000-000021000000}" name="AUD"/>
    <tableColumn id="34" xr3:uid="{00000000-0010-0000-0000-000022000000}" name="USD"/>
    <tableColumn id="35" xr3:uid="{00000000-0010-0000-0000-000023000000}" name="CATEGORIES"/>
    <tableColumn id="36" xr3:uid="{DE7C69C2-C1E7-49D7-8A7B-33F09F338294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"/>
  <sheetViews>
    <sheetView tabSelected="1" topLeftCell="A8" workbookViewId="0">
      <selection activeCell="A29" sqref="A29"/>
    </sheetView>
  </sheetViews>
  <sheetFormatPr defaultRowHeight="14.5" x14ac:dyDescent="0.35"/>
  <cols>
    <col min="1" max="1" width="29.7265625" customWidth="1"/>
    <col min="2" max="2" width="19.7265625" hidden="1" customWidth="1"/>
    <col min="3" max="3" width="9.7265625" hidden="1" customWidth="1"/>
    <col min="4" max="4" width="31.7265625" hidden="1" customWidth="1"/>
    <col min="5" max="5" width="12.7265625" customWidth="1"/>
    <col min="6" max="6" width="22.7265625" customWidth="1"/>
    <col min="7" max="7" width="25.7265625" customWidth="1"/>
    <col min="8" max="8" width="28.7265625" customWidth="1"/>
    <col min="9" max="9" width="29.7265625" customWidth="1"/>
    <col min="10" max="10" width="28.7265625" customWidth="1"/>
    <col min="11" max="11" width="20.7265625" customWidth="1"/>
    <col min="12" max="12" width="21.7265625" customWidth="1"/>
    <col min="13" max="13" width="7.7265625" customWidth="1"/>
    <col min="14" max="14" width="19.7265625" customWidth="1"/>
    <col min="15" max="16" width="11.7265625" customWidth="1"/>
    <col min="17" max="17" width="8.7265625" style="1" customWidth="1"/>
    <col min="18" max="18" width="40.7265625" customWidth="1"/>
    <col min="19" max="19" width="41.7265625" customWidth="1"/>
    <col min="20" max="20" width="6.7265625" customWidth="1"/>
    <col min="21" max="22" width="17.7265625" customWidth="1"/>
    <col min="23" max="23" width="19.7265625" customWidth="1"/>
    <col min="24" max="24" width="23.7265625" customWidth="1"/>
    <col min="25" max="25" width="11.7265625" customWidth="1"/>
    <col min="26" max="26" width="12.7265625" customWidth="1"/>
    <col min="27" max="27" width="274.7265625" customWidth="1"/>
    <col min="28" max="28" width="151.7265625" customWidth="1"/>
    <col min="29" max="29" width="8.7265625" style="2" customWidth="1"/>
    <col min="30" max="30" width="18.7265625" customWidth="1"/>
    <col min="31" max="31" width="8.7265625" style="2" customWidth="1"/>
    <col min="32" max="32" width="17.7265625" customWidth="1"/>
    <col min="33" max="34" width="6.7265625" customWidth="1"/>
    <col min="35" max="35" width="13.7265625" customWidth="1"/>
    <col min="36" max="36" width="60.7265625" bestFit="1" customWidth="1"/>
  </cols>
  <sheetData>
    <row r="1" spans="1:36" x14ac:dyDescent="0.35">
      <c r="A1" s="6" t="s">
        <v>192</v>
      </c>
      <c r="B1" s="6"/>
      <c r="C1" s="7" t="s">
        <v>193</v>
      </c>
      <c r="D1" s="7"/>
      <c r="E1" s="7"/>
      <c r="F1" s="8" t="s">
        <v>194</v>
      </c>
      <c r="G1" s="8"/>
      <c r="H1" s="9" t="s">
        <v>195</v>
      </c>
      <c r="I1" s="9"/>
      <c r="J1" s="9"/>
      <c r="K1" s="10" t="s">
        <v>196</v>
      </c>
      <c r="L1" s="10"/>
      <c r="M1" s="10"/>
      <c r="N1" s="10"/>
      <c r="O1" s="3" t="s">
        <v>197</v>
      </c>
      <c r="P1" s="4" t="s">
        <v>198</v>
      </c>
      <c r="Q1" s="11" t="s">
        <v>199</v>
      </c>
      <c r="R1" s="11"/>
      <c r="S1" s="11"/>
      <c r="T1" s="12" t="s">
        <v>200</v>
      </c>
      <c r="U1" s="12"/>
      <c r="V1" s="12"/>
      <c r="W1" s="12"/>
      <c r="X1" s="12"/>
      <c r="Y1" s="12"/>
      <c r="Z1" s="12"/>
      <c r="AA1" s="13" t="s">
        <v>201</v>
      </c>
      <c r="AB1" s="13"/>
      <c r="AC1" s="13"/>
      <c r="AD1" s="13"/>
      <c r="AE1" s="13"/>
    </row>
    <row r="2" spans="1:3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s="2" t="s">
        <v>28</v>
      </c>
      <c r="AD2" t="s">
        <v>29</v>
      </c>
      <c r="AE2" s="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202</v>
      </c>
    </row>
    <row r="3" spans="1:36" hidden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</row>
    <row r="4" spans="1:36" x14ac:dyDescent="0.35">
      <c r="A4" s="18" t="s">
        <v>75</v>
      </c>
      <c r="B4" t="s">
        <v>85</v>
      </c>
      <c r="C4">
        <v>24</v>
      </c>
      <c r="D4">
        <v>29</v>
      </c>
      <c r="E4">
        <v>18</v>
      </c>
      <c r="F4">
        <v>8</v>
      </c>
      <c r="G4">
        <v>21</v>
      </c>
      <c r="H4">
        <v>553</v>
      </c>
      <c r="I4">
        <v>144</v>
      </c>
      <c r="K4">
        <v>1544</v>
      </c>
      <c r="L4">
        <v>394</v>
      </c>
      <c r="M4">
        <v>573</v>
      </c>
      <c r="O4">
        <v>19</v>
      </c>
      <c r="P4" t="e">
        <f ca="1">_xludf.VAR.P(C4, D4, F4, G4)</f>
        <v>#NAME?</v>
      </c>
      <c r="Q4" s="1">
        <v>0.67937944408532647</v>
      </c>
      <c r="R4">
        <v>2.7920433996383358</v>
      </c>
      <c r="S4">
        <v>2.7361111111111112</v>
      </c>
      <c r="T4">
        <v>15</v>
      </c>
      <c r="U4">
        <v>5</v>
      </c>
      <c r="V4">
        <v>3</v>
      </c>
      <c r="W4">
        <v>3</v>
      </c>
      <c r="X4">
        <v>48</v>
      </c>
      <c r="Y4">
        <v>1</v>
      </c>
      <c r="Z4">
        <v>0</v>
      </c>
      <c r="AA4" t="s">
        <v>126</v>
      </c>
      <c r="AB4" t="s">
        <v>165</v>
      </c>
      <c r="AC4" s="2">
        <v>0.89400000000000002</v>
      </c>
      <c r="AD4" t="s">
        <v>185</v>
      </c>
      <c r="AE4" s="2">
        <v>3.2000000000000001E-2</v>
      </c>
      <c r="AF4">
        <v>10</v>
      </c>
    </row>
    <row r="5" spans="1:36" x14ac:dyDescent="0.35">
      <c r="A5" s="19" t="s">
        <v>84</v>
      </c>
      <c r="B5" s="14" t="s">
        <v>85</v>
      </c>
      <c r="C5" s="14">
        <v>24</v>
      </c>
      <c r="D5" s="14">
        <v>24</v>
      </c>
      <c r="E5" s="14">
        <v>16</v>
      </c>
      <c r="F5" s="14">
        <v>6</v>
      </c>
      <c r="G5" s="14">
        <v>19</v>
      </c>
      <c r="H5" s="14">
        <v>262</v>
      </c>
      <c r="I5" s="14">
        <v>48</v>
      </c>
      <c r="J5" s="14"/>
      <c r="K5" s="14">
        <v>1018</v>
      </c>
      <c r="L5" s="14">
        <v>141</v>
      </c>
      <c r="M5" s="14">
        <v>279</v>
      </c>
      <c r="N5" s="14"/>
      <c r="O5" s="14">
        <v>27</v>
      </c>
      <c r="P5" s="14" t="e">
        <f ca="1">_xludf.VAR.P(C5, D5, F5, G5)</f>
        <v>#NAME?</v>
      </c>
      <c r="Q5" s="1">
        <v>0.93372898120672598</v>
      </c>
      <c r="R5" s="14">
        <v>3.885496183206107</v>
      </c>
      <c r="S5" s="14">
        <v>2.9375</v>
      </c>
      <c r="T5" s="14">
        <v>5</v>
      </c>
      <c r="U5" s="14">
        <v>14</v>
      </c>
      <c r="V5" s="14">
        <v>2</v>
      </c>
      <c r="W5" s="14">
        <v>2</v>
      </c>
      <c r="X5" s="14">
        <v>255</v>
      </c>
      <c r="Y5" s="14">
        <v>2</v>
      </c>
      <c r="Z5" s="14">
        <v>0</v>
      </c>
      <c r="AA5" s="14" t="s">
        <v>135</v>
      </c>
      <c r="AB5" s="14" t="s">
        <v>174</v>
      </c>
      <c r="AC5" s="2">
        <v>0.99199999999999999</v>
      </c>
      <c r="AD5" s="14" t="s">
        <v>191</v>
      </c>
      <c r="AE5" s="2">
        <v>6.9999999999999993E-3</v>
      </c>
      <c r="AF5" s="14">
        <v>2</v>
      </c>
      <c r="AG5" s="14"/>
      <c r="AH5" s="14"/>
      <c r="AI5" s="14"/>
    </row>
    <row r="6" spans="1:36" x14ac:dyDescent="0.35">
      <c r="A6" t="s">
        <v>36</v>
      </c>
      <c r="B6" t="s">
        <v>85</v>
      </c>
      <c r="C6">
        <v>21</v>
      </c>
      <c r="D6">
        <v>22</v>
      </c>
      <c r="E6">
        <v>28</v>
      </c>
      <c r="F6">
        <v>21</v>
      </c>
      <c r="G6">
        <v>20</v>
      </c>
      <c r="H6">
        <v>554</v>
      </c>
      <c r="I6">
        <v>45</v>
      </c>
      <c r="K6">
        <v>9379</v>
      </c>
      <c r="L6">
        <v>3694</v>
      </c>
      <c r="M6">
        <v>586</v>
      </c>
      <c r="O6">
        <v>5</v>
      </c>
      <c r="P6" t="e">
        <f ca="1">_xludf.VAR.P(C6, D6, F6, G6)</f>
        <v>#NAME?</v>
      </c>
      <c r="Q6" s="1">
        <v>0.99179279471328075</v>
      </c>
      <c r="R6">
        <v>16.929602888086642</v>
      </c>
      <c r="S6">
        <v>82.088888888888889</v>
      </c>
      <c r="T6">
        <v>12</v>
      </c>
      <c r="U6">
        <v>25</v>
      </c>
      <c r="V6">
        <v>17</v>
      </c>
      <c r="W6">
        <v>15</v>
      </c>
      <c r="X6">
        <v>2040</v>
      </c>
      <c r="Y6">
        <v>0</v>
      </c>
      <c r="Z6">
        <v>0</v>
      </c>
      <c r="AA6" t="s">
        <v>87</v>
      </c>
      <c r="AB6" t="s">
        <v>137</v>
      </c>
      <c r="AC6" s="2">
        <v>0.25800000000000001</v>
      </c>
      <c r="AD6" t="s">
        <v>176</v>
      </c>
      <c r="AE6" s="2">
        <v>0.46300000000000002</v>
      </c>
      <c r="AF6">
        <v>5</v>
      </c>
    </row>
    <row r="7" spans="1:36" x14ac:dyDescent="0.35">
      <c r="A7" s="18" t="s">
        <v>81</v>
      </c>
      <c r="B7" t="s">
        <v>85</v>
      </c>
      <c r="C7">
        <v>25</v>
      </c>
      <c r="D7">
        <v>21</v>
      </c>
      <c r="E7">
        <v>9</v>
      </c>
      <c r="F7">
        <v>7</v>
      </c>
      <c r="G7">
        <v>14</v>
      </c>
      <c r="H7">
        <v>112</v>
      </c>
      <c r="I7">
        <v>25</v>
      </c>
      <c r="K7">
        <v>661</v>
      </c>
      <c r="L7">
        <v>62</v>
      </c>
      <c r="M7">
        <v>144</v>
      </c>
      <c r="O7">
        <v>23</v>
      </c>
      <c r="P7" t="e">
        <f ca="1">_xludf.VAR.P(C7, D7, F7, G7)</f>
        <v>#NAME?</v>
      </c>
      <c r="Q7" s="1">
        <v>0.33536585365853661</v>
      </c>
      <c r="R7">
        <v>5.9017857142857144</v>
      </c>
      <c r="S7">
        <v>2.48</v>
      </c>
      <c r="T7">
        <v>8</v>
      </c>
      <c r="U7">
        <v>9</v>
      </c>
      <c r="V7">
        <v>3</v>
      </c>
      <c r="W7">
        <v>2</v>
      </c>
      <c r="X7">
        <v>4</v>
      </c>
      <c r="Y7">
        <v>1</v>
      </c>
      <c r="Z7">
        <v>0</v>
      </c>
      <c r="AA7" t="s">
        <v>132</v>
      </c>
      <c r="AB7" t="s">
        <v>171</v>
      </c>
      <c r="AC7" s="2">
        <v>0.97699999999999998</v>
      </c>
      <c r="AD7" t="s">
        <v>180</v>
      </c>
      <c r="AE7" s="2">
        <v>2.1999999999999999E-2</v>
      </c>
      <c r="AF7">
        <v>2</v>
      </c>
    </row>
    <row r="8" spans="1:36" x14ac:dyDescent="0.35">
      <c r="A8" t="s">
        <v>45</v>
      </c>
      <c r="B8" t="s">
        <v>85</v>
      </c>
      <c r="C8">
        <v>35</v>
      </c>
      <c r="D8">
        <v>20</v>
      </c>
      <c r="F8">
        <v>14</v>
      </c>
      <c r="G8">
        <v>20</v>
      </c>
      <c r="H8">
        <v>294</v>
      </c>
      <c r="I8">
        <v>147</v>
      </c>
      <c r="K8">
        <v>848</v>
      </c>
      <c r="L8">
        <v>411</v>
      </c>
      <c r="M8">
        <v>331</v>
      </c>
      <c r="O8">
        <v>9</v>
      </c>
      <c r="P8" t="e">
        <f ca="1">_xludf.VAR.P(C8, D8, F8, G8)</f>
        <v>#NAME?</v>
      </c>
      <c r="Q8" s="1">
        <v>0.87382075471698117</v>
      </c>
      <c r="R8">
        <v>2.8843537414965992</v>
      </c>
      <c r="S8">
        <v>2.795918367346939</v>
      </c>
      <c r="T8">
        <v>11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 t="s">
        <v>96</v>
      </c>
      <c r="AB8" t="s">
        <v>144</v>
      </c>
      <c r="AC8" s="2">
        <v>0.99400000000000011</v>
      </c>
      <c r="AD8" t="s">
        <v>177</v>
      </c>
      <c r="AE8" s="2">
        <v>2E-3</v>
      </c>
      <c r="AF8">
        <v>3</v>
      </c>
    </row>
    <row r="9" spans="1:36" hidden="1" x14ac:dyDescent="0.35">
      <c r="A9" t="s">
        <v>40</v>
      </c>
      <c r="B9" t="s">
        <v>85</v>
      </c>
      <c r="C9">
        <v>24</v>
      </c>
      <c r="D9">
        <v>6</v>
      </c>
      <c r="F9">
        <v>20</v>
      </c>
      <c r="G9">
        <v>21</v>
      </c>
      <c r="H9">
        <v>70</v>
      </c>
      <c r="I9">
        <v>28</v>
      </c>
      <c r="K9">
        <v>948</v>
      </c>
      <c r="L9">
        <v>347</v>
      </c>
      <c r="M9">
        <v>72</v>
      </c>
      <c r="O9">
        <v>7</v>
      </c>
      <c r="P9" t="e">
        <f ca="1">_xludf.VAR.P(C9, D9, F9, G9)</f>
        <v>#NAME?</v>
      </c>
      <c r="Q9" s="1">
        <v>0.90084388185654007</v>
      </c>
      <c r="R9">
        <v>13.542857142857139</v>
      </c>
      <c r="S9">
        <v>12.392857142857141</v>
      </c>
      <c r="T9">
        <v>10</v>
      </c>
      <c r="U9">
        <v>2</v>
      </c>
      <c r="V9">
        <v>4</v>
      </c>
      <c r="W9">
        <v>3</v>
      </c>
      <c r="X9">
        <v>8</v>
      </c>
      <c r="Y9">
        <v>0</v>
      </c>
      <c r="Z9">
        <v>0</v>
      </c>
      <c r="AA9" t="s">
        <v>91</v>
      </c>
      <c r="AB9" t="s">
        <v>140</v>
      </c>
      <c r="AC9" s="2">
        <v>0.97099999999999997</v>
      </c>
      <c r="AD9" t="s">
        <v>179</v>
      </c>
      <c r="AE9" s="2">
        <v>8.0000000000000002E-3</v>
      </c>
      <c r="AF9">
        <v>5</v>
      </c>
    </row>
    <row r="10" spans="1:36" x14ac:dyDescent="0.35">
      <c r="A10" s="18" t="s">
        <v>73</v>
      </c>
      <c r="B10" t="s">
        <v>85</v>
      </c>
      <c r="C10">
        <v>36</v>
      </c>
      <c r="D10">
        <v>20</v>
      </c>
      <c r="E10">
        <v>35</v>
      </c>
      <c r="F10">
        <v>21</v>
      </c>
      <c r="G10">
        <v>24</v>
      </c>
      <c r="H10">
        <v>517</v>
      </c>
      <c r="I10">
        <v>199</v>
      </c>
      <c r="K10">
        <v>5129</v>
      </c>
      <c r="L10">
        <v>1719</v>
      </c>
      <c r="M10">
        <v>534</v>
      </c>
      <c r="O10">
        <v>18</v>
      </c>
      <c r="P10" t="e">
        <f ca="1">_xludf.VAR.P(C10, D10, F10, G10)</f>
        <v>#NAME?</v>
      </c>
      <c r="Q10" s="1">
        <v>0.95454545454545459</v>
      </c>
      <c r="R10">
        <v>9.9206963249516438</v>
      </c>
      <c r="S10">
        <v>8.6381909547738687</v>
      </c>
      <c r="T10">
        <v>8</v>
      </c>
      <c r="U10">
        <v>0</v>
      </c>
      <c r="V10">
        <v>0</v>
      </c>
      <c r="W10">
        <v>0</v>
      </c>
      <c r="X10">
        <v>1650</v>
      </c>
      <c r="Y10">
        <v>0</v>
      </c>
      <c r="Z10">
        <v>0</v>
      </c>
      <c r="AA10" t="s">
        <v>124</v>
      </c>
      <c r="AB10" t="s">
        <v>164</v>
      </c>
      <c r="AC10" s="2">
        <v>7.400000000000001E-2</v>
      </c>
      <c r="AD10" t="s">
        <v>189</v>
      </c>
      <c r="AE10" s="2">
        <v>0.39800000000000002</v>
      </c>
      <c r="AF10">
        <v>9</v>
      </c>
    </row>
    <row r="11" spans="1:36" s="17" customFormat="1" x14ac:dyDescent="0.35">
      <c r="A11" s="18" t="s">
        <v>54</v>
      </c>
      <c r="B11" t="s">
        <v>85</v>
      </c>
      <c r="C11">
        <v>17</v>
      </c>
      <c r="D11">
        <v>16</v>
      </c>
      <c r="E11">
        <v>24</v>
      </c>
      <c r="F11">
        <v>14</v>
      </c>
      <c r="G11">
        <v>17</v>
      </c>
      <c r="H11">
        <v>103</v>
      </c>
      <c r="I11">
        <v>56</v>
      </c>
      <c r="J11"/>
      <c r="K11">
        <v>648</v>
      </c>
      <c r="L11">
        <v>364</v>
      </c>
      <c r="M11">
        <v>111</v>
      </c>
      <c r="N11"/>
      <c r="O11">
        <v>12</v>
      </c>
      <c r="P11" t="e">
        <f ca="1">_xludf.VAR.P(C11, D11, F11, G11)</f>
        <v>#NAME?</v>
      </c>
      <c r="Q11" s="1">
        <v>0.93364197530864201</v>
      </c>
      <c r="R11">
        <v>6.29126213592233</v>
      </c>
      <c r="S11">
        <v>6.5</v>
      </c>
      <c r="T11">
        <v>18</v>
      </c>
      <c r="U11">
        <v>0</v>
      </c>
      <c r="V11">
        <v>0</v>
      </c>
      <c r="W11">
        <v>0</v>
      </c>
      <c r="X11">
        <v>5</v>
      </c>
      <c r="Y11">
        <v>1</v>
      </c>
      <c r="Z11">
        <v>0</v>
      </c>
      <c r="AA11" t="s">
        <v>105</v>
      </c>
      <c r="AB11" t="s">
        <v>136</v>
      </c>
      <c r="AC11" s="2">
        <v>1</v>
      </c>
      <c r="AD11" t="s">
        <v>175</v>
      </c>
      <c r="AE11" s="2">
        <v>0</v>
      </c>
      <c r="AF11">
        <v>1</v>
      </c>
      <c r="AG11"/>
      <c r="AH11"/>
      <c r="AI11"/>
    </row>
    <row r="12" spans="1:36" hidden="1" x14ac:dyDescent="0.35">
      <c r="A12" t="s">
        <v>43</v>
      </c>
      <c r="B12" t="s">
        <v>85</v>
      </c>
      <c r="C12">
        <v>54</v>
      </c>
      <c r="D12">
        <v>6</v>
      </c>
      <c r="F12">
        <v>16</v>
      </c>
      <c r="G12">
        <v>27</v>
      </c>
      <c r="H12">
        <v>2002</v>
      </c>
      <c r="I12">
        <v>802</v>
      </c>
      <c r="K12">
        <v>5537</v>
      </c>
      <c r="L12">
        <v>2283</v>
      </c>
      <c r="M12">
        <v>1528</v>
      </c>
      <c r="O12">
        <v>9</v>
      </c>
      <c r="P12" t="e">
        <f ca="1">_xludf.VAR.P(C12, D12, F12, G12)</f>
        <v>#NAME?</v>
      </c>
      <c r="Q12" s="1">
        <v>0.86232407073258754</v>
      </c>
      <c r="R12">
        <v>2.7657342657342658</v>
      </c>
      <c r="S12">
        <v>2.8466334164588529</v>
      </c>
      <c r="T12">
        <v>12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 t="s">
        <v>94</v>
      </c>
      <c r="AB12" t="s">
        <v>142</v>
      </c>
      <c r="AC12" s="2">
        <v>0.89500000000000002</v>
      </c>
      <c r="AD12" t="s">
        <v>178</v>
      </c>
      <c r="AE12" s="2">
        <v>2.5999999999999999E-2</v>
      </c>
      <c r="AF12">
        <v>10</v>
      </c>
    </row>
    <row r="13" spans="1:36" hidden="1" x14ac:dyDescent="0.35">
      <c r="A13" t="s">
        <v>44</v>
      </c>
      <c r="B13" t="s">
        <v>85</v>
      </c>
      <c r="C13">
        <v>12</v>
      </c>
      <c r="D13">
        <v>7</v>
      </c>
      <c r="F13">
        <v>8</v>
      </c>
      <c r="G13">
        <v>16</v>
      </c>
      <c r="H13">
        <v>112</v>
      </c>
      <c r="I13">
        <v>88</v>
      </c>
      <c r="K13">
        <v>380</v>
      </c>
      <c r="L13">
        <v>136</v>
      </c>
      <c r="M13">
        <v>115</v>
      </c>
      <c r="O13">
        <v>9</v>
      </c>
      <c r="P13" t="e">
        <f ca="1">_xludf.VAR.P(C13, D13, F13, G13)</f>
        <v>#NAME?</v>
      </c>
      <c r="Q13" s="1">
        <v>0.43157894736842112</v>
      </c>
      <c r="R13">
        <v>3.3928571428571428</v>
      </c>
      <c r="S13">
        <v>1.545454545454545</v>
      </c>
      <c r="T13">
        <v>15</v>
      </c>
      <c r="U13">
        <v>1</v>
      </c>
      <c r="V13">
        <v>0</v>
      </c>
      <c r="W13">
        <v>0</v>
      </c>
      <c r="X13">
        <v>106</v>
      </c>
      <c r="Y13">
        <v>4</v>
      </c>
      <c r="Z13">
        <v>0</v>
      </c>
      <c r="AA13" t="s">
        <v>95</v>
      </c>
      <c r="AB13" t="s">
        <v>143</v>
      </c>
      <c r="AC13" s="2">
        <v>0.51200000000000001</v>
      </c>
      <c r="AD13" t="s">
        <v>181</v>
      </c>
      <c r="AE13" s="2">
        <v>0.29199999999999998</v>
      </c>
      <c r="AF13">
        <v>4</v>
      </c>
    </row>
    <row r="14" spans="1:36" x14ac:dyDescent="0.35">
      <c r="A14" t="s">
        <v>67</v>
      </c>
      <c r="B14" t="s">
        <v>85</v>
      </c>
      <c r="C14">
        <v>31</v>
      </c>
      <c r="D14">
        <v>16</v>
      </c>
      <c r="F14">
        <v>6</v>
      </c>
      <c r="G14">
        <v>18</v>
      </c>
      <c r="H14">
        <v>101</v>
      </c>
      <c r="I14">
        <v>44</v>
      </c>
      <c r="K14">
        <v>245</v>
      </c>
      <c r="L14">
        <v>146</v>
      </c>
      <c r="M14">
        <v>106</v>
      </c>
      <c r="O14">
        <v>15</v>
      </c>
      <c r="P14" t="e">
        <f ca="1">_xludf.VAR.P(C14, D14, F14, G14)</f>
        <v>#NAME?</v>
      </c>
      <c r="Q14" s="1">
        <v>0.69672131147540983</v>
      </c>
      <c r="R14">
        <v>2.4257425742574261</v>
      </c>
      <c r="S14">
        <v>3.3181818181818179</v>
      </c>
      <c r="T14">
        <v>17</v>
      </c>
      <c r="U14">
        <v>16</v>
      </c>
      <c r="V14">
        <v>3</v>
      </c>
      <c r="W14">
        <v>3</v>
      </c>
      <c r="X14">
        <v>43</v>
      </c>
      <c r="Y14">
        <v>6</v>
      </c>
      <c r="Z14">
        <v>1</v>
      </c>
      <c r="AA14" t="s">
        <v>118</v>
      </c>
      <c r="AB14" t="s">
        <v>158</v>
      </c>
      <c r="AC14" s="2">
        <v>0.27900000000000003</v>
      </c>
      <c r="AD14" t="s">
        <v>181</v>
      </c>
      <c r="AE14" s="2">
        <v>0.72</v>
      </c>
      <c r="AF14">
        <v>2</v>
      </c>
    </row>
    <row r="15" spans="1:36" hidden="1" x14ac:dyDescent="0.35">
      <c r="A15" t="s">
        <v>46</v>
      </c>
      <c r="B15" t="s">
        <v>85</v>
      </c>
      <c r="C15">
        <v>25</v>
      </c>
      <c r="D15">
        <v>5</v>
      </c>
      <c r="F15">
        <v>19</v>
      </c>
      <c r="G15">
        <v>20</v>
      </c>
      <c r="H15">
        <v>839</v>
      </c>
      <c r="I15">
        <v>300</v>
      </c>
      <c r="K15">
        <v>3996</v>
      </c>
      <c r="L15">
        <v>626</v>
      </c>
      <c r="M15">
        <v>725</v>
      </c>
      <c r="O15">
        <v>10</v>
      </c>
      <c r="P15" t="e">
        <f ca="1">_xludf.VAR.P(C15, D15, F15, G15)</f>
        <v>#NAME?</v>
      </c>
      <c r="Q15" s="1">
        <v>0.1018773466833542</v>
      </c>
      <c r="R15">
        <v>4.7628128724672232</v>
      </c>
      <c r="S15">
        <v>2.086666666666666</v>
      </c>
      <c r="T15">
        <v>6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 t="s">
        <v>97</v>
      </c>
      <c r="AB15" t="s">
        <v>136</v>
      </c>
      <c r="AC15" s="2">
        <v>1</v>
      </c>
      <c r="AD15" t="s">
        <v>175</v>
      </c>
      <c r="AE15" s="2">
        <v>0</v>
      </c>
      <c r="AF15">
        <v>1</v>
      </c>
    </row>
    <row r="16" spans="1:36" hidden="1" x14ac:dyDescent="0.35">
      <c r="A16" t="s">
        <v>47</v>
      </c>
      <c r="B16" t="s">
        <v>85</v>
      </c>
      <c r="C16">
        <v>29</v>
      </c>
      <c r="D16">
        <v>5</v>
      </c>
      <c r="F16">
        <v>15</v>
      </c>
      <c r="G16">
        <v>16</v>
      </c>
      <c r="H16">
        <v>123</v>
      </c>
      <c r="I16">
        <v>65</v>
      </c>
      <c r="K16">
        <v>435</v>
      </c>
      <c r="L16">
        <v>124</v>
      </c>
      <c r="M16">
        <v>149</v>
      </c>
      <c r="O16">
        <v>10</v>
      </c>
      <c r="P16" t="e">
        <f ca="1">_xludf.VAR.P(C16, D16, F16, G16)</f>
        <v>#NAME?</v>
      </c>
      <c r="Q16" s="1">
        <v>0.39351851851851849</v>
      </c>
      <c r="R16">
        <v>3.536585365853659</v>
      </c>
      <c r="S16">
        <v>1.907692307692308</v>
      </c>
      <c r="T16">
        <v>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98</v>
      </c>
      <c r="AB16" t="s">
        <v>136</v>
      </c>
      <c r="AC16" s="2">
        <v>1</v>
      </c>
      <c r="AD16" t="s">
        <v>175</v>
      </c>
      <c r="AE16" s="2">
        <v>0</v>
      </c>
      <c r="AF16">
        <v>1</v>
      </c>
    </row>
    <row r="17" spans="1:36" hidden="1" x14ac:dyDescent="0.35">
      <c r="A17" t="s">
        <v>48</v>
      </c>
      <c r="B17" t="s">
        <v>85</v>
      </c>
      <c r="C17">
        <v>42</v>
      </c>
      <c r="D17">
        <v>6</v>
      </c>
      <c r="F17">
        <v>9</v>
      </c>
      <c r="G17">
        <v>25</v>
      </c>
      <c r="H17">
        <v>866</v>
      </c>
      <c r="I17">
        <v>478</v>
      </c>
      <c r="K17">
        <v>2456</v>
      </c>
      <c r="L17">
        <v>1164</v>
      </c>
      <c r="M17">
        <v>783</v>
      </c>
      <c r="O17">
        <v>11</v>
      </c>
      <c r="P17" t="e">
        <f ca="1">_xludf.VAR.P(C17, D17, F17, G17)</f>
        <v>#NAME?</v>
      </c>
      <c r="Q17" s="1">
        <v>0.75100401606425704</v>
      </c>
      <c r="R17">
        <v>2.836027713625866</v>
      </c>
      <c r="S17">
        <v>2.4351464435146442</v>
      </c>
      <c r="T17">
        <v>12</v>
      </c>
      <c r="U17">
        <v>67</v>
      </c>
      <c r="V17">
        <v>2</v>
      </c>
      <c r="W17">
        <v>2</v>
      </c>
      <c r="X17">
        <v>0</v>
      </c>
      <c r="Y17">
        <v>1</v>
      </c>
      <c r="Z17">
        <v>0</v>
      </c>
      <c r="AA17" t="s">
        <v>99</v>
      </c>
      <c r="AB17" t="s">
        <v>145</v>
      </c>
      <c r="AC17" s="2">
        <v>0.98</v>
      </c>
      <c r="AD17" t="s">
        <v>178</v>
      </c>
      <c r="AE17" s="2">
        <v>1.0999999999999999E-2</v>
      </c>
      <c r="AF17">
        <v>4</v>
      </c>
    </row>
    <row r="18" spans="1:36" x14ac:dyDescent="0.35">
      <c r="A18" t="s">
        <v>39</v>
      </c>
      <c r="B18" t="s">
        <v>85</v>
      </c>
      <c r="C18">
        <v>29</v>
      </c>
      <c r="D18">
        <v>15</v>
      </c>
      <c r="F18">
        <v>10</v>
      </c>
      <c r="G18">
        <v>18</v>
      </c>
      <c r="H18">
        <v>249</v>
      </c>
      <c r="I18">
        <v>188</v>
      </c>
      <c r="K18">
        <v>1145</v>
      </c>
      <c r="L18">
        <v>957</v>
      </c>
      <c r="M18">
        <v>260</v>
      </c>
      <c r="O18">
        <v>6</v>
      </c>
      <c r="P18" t="e">
        <f ca="1">_xludf.VAR.P(C18, D18, F18, G18)</f>
        <v>#NAME?</v>
      </c>
      <c r="Q18" s="1">
        <v>0.71528384279475987</v>
      </c>
      <c r="R18">
        <v>4.5983935742971891</v>
      </c>
      <c r="S18">
        <v>5.0904255319148932</v>
      </c>
      <c r="T18">
        <v>21</v>
      </c>
      <c r="U18">
        <v>0</v>
      </c>
      <c r="V18">
        <v>0</v>
      </c>
      <c r="W18">
        <v>0</v>
      </c>
      <c r="X18">
        <v>787</v>
      </c>
      <c r="Y18">
        <v>1</v>
      </c>
      <c r="Z18">
        <v>0</v>
      </c>
      <c r="AA18" t="s">
        <v>90</v>
      </c>
      <c r="AB18" t="s">
        <v>139</v>
      </c>
      <c r="AC18" s="2">
        <v>0.94700000000000006</v>
      </c>
      <c r="AD18" t="s">
        <v>178</v>
      </c>
      <c r="AE18" s="2">
        <v>2.9000000000000001E-2</v>
      </c>
      <c r="AF18">
        <v>6</v>
      </c>
    </row>
    <row r="19" spans="1:36" hidden="1" x14ac:dyDescent="0.35">
      <c r="A19" t="s">
        <v>50</v>
      </c>
      <c r="B19" t="s">
        <v>85</v>
      </c>
      <c r="C19">
        <v>15</v>
      </c>
      <c r="D19">
        <v>5</v>
      </c>
      <c r="F19">
        <v>9</v>
      </c>
      <c r="G19">
        <v>17</v>
      </c>
      <c r="H19">
        <v>115</v>
      </c>
      <c r="I19">
        <v>79</v>
      </c>
      <c r="K19">
        <v>167</v>
      </c>
      <c r="L19">
        <v>98</v>
      </c>
      <c r="M19">
        <v>121</v>
      </c>
      <c r="O19">
        <v>12</v>
      </c>
      <c r="P19" t="e">
        <f ca="1">_xludf.VAR.P(C19, D19, F19, G19)</f>
        <v>#NAME?</v>
      </c>
      <c r="Q19" s="1">
        <v>0.64242424242424245</v>
      </c>
      <c r="R19">
        <v>1.4521739130434781</v>
      </c>
      <c r="S19">
        <v>1.240506329113924</v>
      </c>
      <c r="T19">
        <v>11</v>
      </c>
      <c r="U19">
        <v>0</v>
      </c>
      <c r="V19">
        <v>0</v>
      </c>
      <c r="W19">
        <v>0</v>
      </c>
      <c r="X19">
        <v>5</v>
      </c>
      <c r="Y19">
        <v>0</v>
      </c>
      <c r="Z19">
        <v>0</v>
      </c>
      <c r="AA19" t="s">
        <v>101</v>
      </c>
      <c r="AB19" t="s">
        <v>136</v>
      </c>
      <c r="AC19" s="2">
        <v>1</v>
      </c>
      <c r="AD19" t="s">
        <v>175</v>
      </c>
      <c r="AE19" s="2">
        <v>0</v>
      </c>
      <c r="AF19">
        <v>1</v>
      </c>
    </row>
    <row r="20" spans="1:36" hidden="1" x14ac:dyDescent="0.35">
      <c r="A20" t="s">
        <v>51</v>
      </c>
      <c r="B20" t="s">
        <v>85</v>
      </c>
      <c r="C20">
        <v>23</v>
      </c>
      <c r="D20">
        <v>5</v>
      </c>
      <c r="F20">
        <v>8</v>
      </c>
      <c r="G20">
        <v>16</v>
      </c>
      <c r="H20">
        <v>86</v>
      </c>
      <c r="I20">
        <v>36</v>
      </c>
      <c r="K20">
        <v>493</v>
      </c>
      <c r="L20">
        <v>219</v>
      </c>
      <c r="M20">
        <v>120</v>
      </c>
      <c r="O20">
        <v>12</v>
      </c>
      <c r="P20" t="e">
        <f ca="1">_xludf.VAR.P(C20, D20, F20, G20)</f>
        <v>#NAME?</v>
      </c>
      <c r="Q20" s="1">
        <v>0.53144016227180524</v>
      </c>
      <c r="R20">
        <v>5.7325581395348841</v>
      </c>
      <c r="S20">
        <v>6.083333333333333</v>
      </c>
      <c r="T20">
        <v>15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 t="s">
        <v>102</v>
      </c>
      <c r="AB20" t="s">
        <v>147</v>
      </c>
      <c r="AC20" s="2">
        <v>0.99</v>
      </c>
      <c r="AD20" t="s">
        <v>182</v>
      </c>
      <c r="AE20" s="2">
        <v>9.0000000000000011E-3</v>
      </c>
      <c r="AF20">
        <v>2</v>
      </c>
    </row>
    <row r="21" spans="1:36" hidden="1" x14ac:dyDescent="0.35">
      <c r="A21" t="s">
        <v>52</v>
      </c>
      <c r="B21" t="s">
        <v>85</v>
      </c>
      <c r="C21">
        <v>38</v>
      </c>
      <c r="D21">
        <v>6</v>
      </c>
      <c r="F21">
        <v>5</v>
      </c>
      <c r="G21">
        <v>21</v>
      </c>
      <c r="H21">
        <v>789</v>
      </c>
      <c r="I21">
        <v>1037</v>
      </c>
      <c r="K21">
        <v>45365</v>
      </c>
      <c r="L21">
        <v>2439</v>
      </c>
      <c r="M21">
        <v>722</v>
      </c>
      <c r="O21">
        <v>12</v>
      </c>
      <c r="P21" t="e">
        <f ca="1">_xludf.VAR.P(C21, D21, F21, G21)</f>
        <v>#NAME?</v>
      </c>
      <c r="Q21" s="1">
        <v>0.96111968260965397</v>
      </c>
      <c r="R21">
        <v>57.49683143219265</v>
      </c>
      <c r="S21">
        <v>2.351976856316297</v>
      </c>
      <c r="T21">
        <v>9</v>
      </c>
      <c r="U21">
        <v>0</v>
      </c>
      <c r="V21">
        <v>41</v>
      </c>
      <c r="W21">
        <v>5</v>
      </c>
      <c r="X21">
        <v>0</v>
      </c>
      <c r="Y21">
        <v>2</v>
      </c>
      <c r="Z21">
        <v>0</v>
      </c>
      <c r="AA21" t="s">
        <v>103</v>
      </c>
      <c r="AB21" t="s">
        <v>148</v>
      </c>
      <c r="AC21" s="2">
        <v>0.98699999999999999</v>
      </c>
      <c r="AD21" t="s">
        <v>183</v>
      </c>
      <c r="AE21" s="2">
        <v>2E-3</v>
      </c>
      <c r="AF21">
        <v>7</v>
      </c>
    </row>
    <row r="22" spans="1:36" hidden="1" x14ac:dyDescent="0.35">
      <c r="A22" t="s">
        <v>53</v>
      </c>
      <c r="B22" t="s">
        <v>85</v>
      </c>
      <c r="C22">
        <v>24</v>
      </c>
      <c r="D22">
        <v>6</v>
      </c>
      <c r="F22">
        <v>15</v>
      </c>
      <c r="G22">
        <v>19</v>
      </c>
      <c r="H22">
        <v>147</v>
      </c>
      <c r="I22">
        <v>82</v>
      </c>
      <c r="K22">
        <v>346</v>
      </c>
      <c r="L22">
        <v>132</v>
      </c>
      <c r="M22">
        <v>207</v>
      </c>
      <c r="O22">
        <v>12</v>
      </c>
      <c r="P22" t="e">
        <f ca="1">_xludf.VAR.P(C22, D22, F22, G22)</f>
        <v>#NAME?</v>
      </c>
      <c r="Q22" s="1">
        <v>0.91618497109826591</v>
      </c>
      <c r="R22">
        <v>2.353741496598639</v>
      </c>
      <c r="S22">
        <v>1.6097560975609759</v>
      </c>
      <c r="T22">
        <v>5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 t="s">
        <v>104</v>
      </c>
      <c r="AB22" t="s">
        <v>149</v>
      </c>
      <c r="AC22" s="2">
        <v>0.60699999999999998</v>
      </c>
      <c r="AD22" t="s">
        <v>184</v>
      </c>
      <c r="AE22" s="2">
        <v>0.36699999999999999</v>
      </c>
      <c r="AF22">
        <v>4</v>
      </c>
    </row>
    <row r="23" spans="1:36" x14ac:dyDescent="0.35">
      <c r="A23" s="20" t="s">
        <v>42</v>
      </c>
      <c r="B23" s="17" t="s">
        <v>85</v>
      </c>
      <c r="C23" s="17">
        <v>15</v>
      </c>
      <c r="D23" s="17">
        <v>15</v>
      </c>
      <c r="E23" s="17"/>
      <c r="F23" s="17">
        <v>16</v>
      </c>
      <c r="G23" s="17">
        <v>20</v>
      </c>
      <c r="H23" s="17">
        <v>163</v>
      </c>
      <c r="I23" s="17">
        <v>58</v>
      </c>
      <c r="J23" s="17"/>
      <c r="K23" s="17">
        <v>291</v>
      </c>
      <c r="L23" s="17">
        <v>97</v>
      </c>
      <c r="M23" s="17">
        <v>145</v>
      </c>
      <c r="N23" s="17"/>
      <c r="O23" s="17">
        <v>8</v>
      </c>
      <c r="P23" s="17" t="e">
        <f ca="1">_xludf.VAR.P(C23, D23, F23, G23)</f>
        <v>#NAME?</v>
      </c>
      <c r="Q23" s="21">
        <v>0.32989690721649478</v>
      </c>
      <c r="R23" s="17">
        <v>1.785276073619632</v>
      </c>
      <c r="S23" s="17">
        <v>1.672413793103448</v>
      </c>
      <c r="T23" s="17">
        <v>10</v>
      </c>
      <c r="U23" s="17">
        <v>8</v>
      </c>
      <c r="V23" s="17">
        <v>0</v>
      </c>
      <c r="W23" s="17">
        <v>0</v>
      </c>
      <c r="X23" s="17">
        <v>43600</v>
      </c>
      <c r="Y23" s="17">
        <v>0</v>
      </c>
      <c r="Z23" s="17">
        <v>0</v>
      </c>
      <c r="AA23" s="17" t="s">
        <v>93</v>
      </c>
      <c r="AB23" s="17" t="s">
        <v>141</v>
      </c>
      <c r="AC23" s="22">
        <v>0.97900000000000009</v>
      </c>
      <c r="AD23" s="17" t="s">
        <v>180</v>
      </c>
      <c r="AE23" s="22">
        <v>0.01</v>
      </c>
      <c r="AF23" s="17">
        <v>3</v>
      </c>
      <c r="AG23" s="17"/>
      <c r="AH23" s="17"/>
      <c r="AI23" s="17"/>
    </row>
    <row r="24" spans="1:36" x14ac:dyDescent="0.35">
      <c r="A24" t="s">
        <v>64</v>
      </c>
      <c r="B24" t="s">
        <v>85</v>
      </c>
      <c r="C24">
        <v>20</v>
      </c>
      <c r="D24">
        <v>15</v>
      </c>
      <c r="F24">
        <v>16</v>
      </c>
      <c r="G24">
        <v>17</v>
      </c>
      <c r="H24">
        <v>121</v>
      </c>
      <c r="I24">
        <v>85</v>
      </c>
      <c r="K24">
        <v>510</v>
      </c>
      <c r="L24">
        <v>161</v>
      </c>
      <c r="M24">
        <v>138</v>
      </c>
      <c r="O24">
        <v>14</v>
      </c>
      <c r="P24" t="e">
        <f ca="1">_xludf.VAR.P(C24, D24, F24, G24)</f>
        <v>#NAME?</v>
      </c>
      <c r="Q24" s="1">
        <v>0.6868884540117417</v>
      </c>
      <c r="R24">
        <v>4.214876033057851</v>
      </c>
      <c r="S24">
        <v>1.894117647058823</v>
      </c>
      <c r="T24">
        <v>6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 t="s">
        <v>115</v>
      </c>
      <c r="AB24" t="s">
        <v>156</v>
      </c>
      <c r="AC24" s="2">
        <v>0.96299999999999997</v>
      </c>
      <c r="AD24" t="s">
        <v>181</v>
      </c>
      <c r="AE24" s="2">
        <v>2.7E-2</v>
      </c>
      <c r="AF24">
        <v>3</v>
      </c>
    </row>
    <row r="25" spans="1:36" hidden="1" x14ac:dyDescent="0.35">
      <c r="A25" t="s">
        <v>56</v>
      </c>
      <c r="B25" t="s">
        <v>85</v>
      </c>
      <c r="C25">
        <v>34</v>
      </c>
      <c r="D25">
        <v>6</v>
      </c>
      <c r="F25">
        <v>15</v>
      </c>
      <c r="G25">
        <v>25</v>
      </c>
      <c r="H25">
        <v>820</v>
      </c>
      <c r="I25">
        <v>634</v>
      </c>
      <c r="K25">
        <v>6953</v>
      </c>
      <c r="L25">
        <v>1791</v>
      </c>
      <c r="M25">
        <v>656</v>
      </c>
      <c r="O25">
        <v>12</v>
      </c>
      <c r="P25" t="e">
        <f ca="1">_xludf.VAR.P(C25, D25, F25, G25)</f>
        <v>#NAME?</v>
      </c>
      <c r="Q25" s="1">
        <v>0.73609314359637779</v>
      </c>
      <c r="R25">
        <v>8.4792682926829261</v>
      </c>
      <c r="S25">
        <v>2.8249211356466879</v>
      </c>
      <c r="T25">
        <v>6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 t="s">
        <v>107</v>
      </c>
      <c r="AB25" t="s">
        <v>151</v>
      </c>
      <c r="AC25" s="2">
        <v>0.91500000000000004</v>
      </c>
      <c r="AD25" t="s">
        <v>185</v>
      </c>
      <c r="AE25" s="2">
        <v>0.02</v>
      </c>
      <c r="AF25">
        <v>10</v>
      </c>
    </row>
    <row r="26" spans="1:36" x14ac:dyDescent="0.35">
      <c r="A26" s="18" t="s">
        <v>49</v>
      </c>
      <c r="B26" t="s">
        <v>85</v>
      </c>
      <c r="C26">
        <v>25</v>
      </c>
      <c r="D26">
        <v>14</v>
      </c>
      <c r="E26">
        <v>14</v>
      </c>
      <c r="F26">
        <v>6</v>
      </c>
      <c r="G26">
        <v>15</v>
      </c>
      <c r="H26">
        <v>274</v>
      </c>
      <c r="I26">
        <v>37</v>
      </c>
      <c r="K26">
        <v>1062</v>
      </c>
      <c r="L26">
        <v>159</v>
      </c>
      <c r="M26">
        <v>293</v>
      </c>
      <c r="O26">
        <v>11</v>
      </c>
      <c r="P26" t="e">
        <f ca="1">_xludf.VAR.P(C26, D26, F26, G26)</f>
        <v>#NAME?</v>
      </c>
      <c r="Q26" s="1">
        <v>0.49905838041431261</v>
      </c>
      <c r="R26">
        <v>3.8759124087591239</v>
      </c>
      <c r="S26">
        <v>4.2972972972972974</v>
      </c>
      <c r="T26">
        <v>11</v>
      </c>
      <c r="U26">
        <v>99</v>
      </c>
      <c r="V26">
        <v>1</v>
      </c>
      <c r="W26">
        <v>1</v>
      </c>
      <c r="X26">
        <v>6800</v>
      </c>
      <c r="Y26">
        <v>3</v>
      </c>
      <c r="Z26">
        <v>0</v>
      </c>
      <c r="AA26" t="s">
        <v>100</v>
      </c>
      <c r="AB26" t="s">
        <v>146</v>
      </c>
      <c r="AC26" s="2">
        <v>0.94099999999999995</v>
      </c>
      <c r="AD26" t="s">
        <v>179</v>
      </c>
      <c r="AE26" s="2">
        <v>1.6E-2</v>
      </c>
      <c r="AF26">
        <v>5</v>
      </c>
    </row>
    <row r="27" spans="1:36" hidden="1" x14ac:dyDescent="0.35">
      <c r="A27" t="s">
        <v>58</v>
      </c>
      <c r="B27" t="s">
        <v>85</v>
      </c>
      <c r="C27">
        <v>22</v>
      </c>
      <c r="D27">
        <v>5</v>
      </c>
      <c r="F27">
        <v>12</v>
      </c>
      <c r="G27">
        <v>25</v>
      </c>
      <c r="H27">
        <v>205</v>
      </c>
      <c r="I27">
        <v>76</v>
      </c>
      <c r="K27">
        <v>7279</v>
      </c>
      <c r="L27">
        <v>4422</v>
      </c>
      <c r="M27">
        <v>259</v>
      </c>
      <c r="O27">
        <v>13</v>
      </c>
      <c r="P27" t="e">
        <f ca="1">_xludf.VAR.P(C27, D27, F27, G27)</f>
        <v>#NAME?</v>
      </c>
      <c r="Q27" s="1">
        <v>0.63305898491083679</v>
      </c>
      <c r="R27">
        <v>35.507317073170732</v>
      </c>
      <c r="S27">
        <v>58.184210526315788</v>
      </c>
      <c r="T27">
        <v>7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 t="s">
        <v>109</v>
      </c>
      <c r="AB27" t="s">
        <v>152</v>
      </c>
      <c r="AC27" s="2">
        <v>0.998</v>
      </c>
      <c r="AD27" t="s">
        <v>175</v>
      </c>
      <c r="AE27" s="2">
        <v>0</v>
      </c>
      <c r="AF27">
        <v>1</v>
      </c>
    </row>
    <row r="28" spans="1:36" hidden="1" x14ac:dyDescent="0.35">
      <c r="A28" t="s">
        <v>59</v>
      </c>
      <c r="B28" t="s">
        <v>85</v>
      </c>
      <c r="C28">
        <v>28</v>
      </c>
      <c r="D28">
        <v>5</v>
      </c>
      <c r="F28">
        <v>17</v>
      </c>
      <c r="G28">
        <v>18</v>
      </c>
      <c r="H28">
        <v>144</v>
      </c>
      <c r="I28">
        <v>77</v>
      </c>
      <c r="K28">
        <v>498</v>
      </c>
      <c r="L28">
        <v>194</v>
      </c>
      <c r="M28">
        <v>150</v>
      </c>
      <c r="O28">
        <v>13</v>
      </c>
      <c r="P28" t="e">
        <f ca="1">_xludf.VAR.P(C28, D28, F28, G28)</f>
        <v>#NAME?</v>
      </c>
      <c r="Q28" s="1">
        <v>0.61167002012072436</v>
      </c>
      <c r="R28">
        <v>3.458333333333333</v>
      </c>
      <c r="S28">
        <v>2.5194805194805201</v>
      </c>
      <c r="T28">
        <v>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110</v>
      </c>
      <c r="AB28" t="s">
        <v>136</v>
      </c>
      <c r="AC28" s="2">
        <v>1</v>
      </c>
      <c r="AD28" t="s">
        <v>175</v>
      </c>
      <c r="AE28" s="2">
        <v>0</v>
      </c>
      <c r="AF28">
        <v>1</v>
      </c>
    </row>
    <row r="29" spans="1:36" x14ac:dyDescent="0.35">
      <c r="A29" s="18" t="s">
        <v>57</v>
      </c>
      <c r="B29" t="s">
        <v>85</v>
      </c>
      <c r="C29">
        <v>24</v>
      </c>
      <c r="D29">
        <v>14</v>
      </c>
      <c r="E29">
        <v>12</v>
      </c>
      <c r="F29">
        <v>10</v>
      </c>
      <c r="G29">
        <v>23</v>
      </c>
      <c r="H29">
        <v>98</v>
      </c>
      <c r="I29">
        <v>303</v>
      </c>
      <c r="K29">
        <v>476</v>
      </c>
      <c r="L29">
        <v>1350</v>
      </c>
      <c r="M29">
        <v>123</v>
      </c>
      <c r="O29">
        <v>13</v>
      </c>
      <c r="P29" t="e">
        <f ca="1">_xludf.VAR.P(C29, D29, F29, G29)</f>
        <v>#NAME?</v>
      </c>
      <c r="Q29" s="1">
        <v>0.73529411764705888</v>
      </c>
      <c r="R29">
        <v>4.8571428571428568</v>
      </c>
      <c r="S29">
        <v>4.4554455445544559</v>
      </c>
      <c r="T29">
        <v>22</v>
      </c>
      <c r="U29">
        <v>4</v>
      </c>
      <c r="V29">
        <v>0</v>
      </c>
      <c r="W29">
        <v>0</v>
      </c>
      <c r="X29">
        <v>147</v>
      </c>
      <c r="Y29">
        <v>1</v>
      </c>
      <c r="Z29">
        <v>0</v>
      </c>
      <c r="AA29" t="s">
        <v>108</v>
      </c>
      <c r="AB29" t="s">
        <v>136</v>
      </c>
      <c r="AC29" s="2">
        <v>1</v>
      </c>
      <c r="AD29" t="s">
        <v>175</v>
      </c>
      <c r="AE29" s="2">
        <v>0</v>
      </c>
      <c r="AF29">
        <v>1</v>
      </c>
    </row>
    <row r="30" spans="1:36" hidden="1" x14ac:dyDescent="0.35">
      <c r="A30" t="s">
        <v>61</v>
      </c>
      <c r="B30" t="s">
        <v>85</v>
      </c>
      <c r="C30">
        <v>21</v>
      </c>
      <c r="D30">
        <v>6</v>
      </c>
      <c r="F30">
        <v>9</v>
      </c>
      <c r="G30">
        <v>24</v>
      </c>
      <c r="H30">
        <v>2267</v>
      </c>
      <c r="I30">
        <v>248</v>
      </c>
      <c r="K30">
        <v>47220</v>
      </c>
      <c r="L30">
        <v>3307</v>
      </c>
      <c r="M30">
        <v>2360</v>
      </c>
      <c r="O30">
        <v>13</v>
      </c>
      <c r="P30" t="e">
        <f ca="1">_xludf.VAR.P(C30, D30, F30, G30)</f>
        <v>#NAME?</v>
      </c>
      <c r="Q30" s="1">
        <v>0.6959661196400212</v>
      </c>
      <c r="R30">
        <v>20.82928981032201</v>
      </c>
      <c r="S30">
        <v>13.33467741935484</v>
      </c>
      <c r="T30">
        <v>11</v>
      </c>
      <c r="U30">
        <v>0</v>
      </c>
      <c r="V30">
        <v>0</v>
      </c>
      <c r="W30">
        <v>0</v>
      </c>
      <c r="X30">
        <v>1</v>
      </c>
      <c r="Y30">
        <v>2</v>
      </c>
      <c r="Z30">
        <v>0</v>
      </c>
      <c r="AA30" t="s">
        <v>112</v>
      </c>
      <c r="AB30" t="s">
        <v>154</v>
      </c>
      <c r="AC30" s="2">
        <v>0.745</v>
      </c>
      <c r="AD30" t="s">
        <v>180</v>
      </c>
      <c r="AE30" s="2">
        <v>0.16</v>
      </c>
      <c r="AF30">
        <v>10</v>
      </c>
    </row>
    <row r="31" spans="1:36" hidden="1" x14ac:dyDescent="0.35">
      <c r="A31" t="s">
        <v>62</v>
      </c>
      <c r="B31" t="s">
        <v>85</v>
      </c>
      <c r="C31">
        <v>37</v>
      </c>
      <c r="D31">
        <v>5</v>
      </c>
      <c r="F31">
        <v>19</v>
      </c>
      <c r="G31">
        <v>21</v>
      </c>
      <c r="H31">
        <v>569</v>
      </c>
      <c r="I31">
        <v>264</v>
      </c>
      <c r="K31">
        <v>5001</v>
      </c>
      <c r="L31">
        <v>7715</v>
      </c>
      <c r="M31">
        <v>576</v>
      </c>
      <c r="O31">
        <v>14</v>
      </c>
      <c r="P31" t="e">
        <f ca="1">_xludf.VAR.P(C31, D31, F31, G31)</f>
        <v>#NAME?</v>
      </c>
      <c r="Q31" s="1">
        <v>0.68108108108108112</v>
      </c>
      <c r="R31">
        <v>8.7891036906854136</v>
      </c>
      <c r="S31">
        <v>29.223484848484851</v>
      </c>
      <c r="T31">
        <v>22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 t="s">
        <v>113</v>
      </c>
      <c r="AB31" t="s">
        <v>152</v>
      </c>
      <c r="AC31" s="2">
        <v>0.998</v>
      </c>
      <c r="AD31" t="s">
        <v>175</v>
      </c>
      <c r="AE31" s="2">
        <v>0</v>
      </c>
      <c r="AF31">
        <v>1</v>
      </c>
    </row>
    <row r="32" spans="1:36" x14ac:dyDescent="0.35">
      <c r="A32" s="18" t="s">
        <v>55</v>
      </c>
      <c r="B32" t="s">
        <v>85</v>
      </c>
      <c r="C32">
        <v>27</v>
      </c>
      <c r="D32">
        <v>13</v>
      </c>
      <c r="E32">
        <v>14</v>
      </c>
      <c r="F32">
        <v>24</v>
      </c>
      <c r="G32">
        <v>13</v>
      </c>
      <c r="H32">
        <v>131</v>
      </c>
      <c r="I32">
        <v>37</v>
      </c>
      <c r="K32">
        <v>748</v>
      </c>
      <c r="L32">
        <v>148</v>
      </c>
      <c r="M32">
        <v>125</v>
      </c>
      <c r="O32">
        <v>12</v>
      </c>
      <c r="P32" t="e">
        <f ca="1">_xludf.VAR.P(C32, D32, F32, G32)</f>
        <v>#NAME?</v>
      </c>
      <c r="Q32" s="1">
        <v>0.55555555555555558</v>
      </c>
      <c r="R32">
        <v>5.7099236641221376</v>
      </c>
      <c r="S32">
        <v>4</v>
      </c>
      <c r="T32">
        <v>23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 t="s">
        <v>106</v>
      </c>
      <c r="AB32" t="s">
        <v>150</v>
      </c>
      <c r="AC32" s="2">
        <v>0.93700000000000006</v>
      </c>
      <c r="AD32" t="s">
        <v>177</v>
      </c>
      <c r="AE32" s="2">
        <v>4.0999999999999988E-2</v>
      </c>
      <c r="AF32">
        <v>3</v>
      </c>
      <c r="AJ32" t="s">
        <v>206</v>
      </c>
    </row>
    <row r="33" spans="1:36" x14ac:dyDescent="0.35">
      <c r="A33" t="s">
        <v>63</v>
      </c>
      <c r="B33" t="s">
        <v>85</v>
      </c>
      <c r="C33">
        <v>31</v>
      </c>
      <c r="D33">
        <v>13</v>
      </c>
      <c r="F33">
        <v>8</v>
      </c>
      <c r="G33">
        <v>42</v>
      </c>
      <c r="H33">
        <v>3530</v>
      </c>
      <c r="I33">
        <v>240</v>
      </c>
      <c r="K33">
        <v>232372</v>
      </c>
      <c r="L33">
        <v>4209</v>
      </c>
      <c r="M33">
        <v>1947</v>
      </c>
      <c r="O33">
        <v>14</v>
      </c>
      <c r="P33" t="e">
        <f ca="1">_xludf.VAR.P(C33, D33, F33, G33)</f>
        <v>#NAME?</v>
      </c>
      <c r="Q33" s="1">
        <v>0.9907678673601521</v>
      </c>
      <c r="R33">
        <v>65.827762039660058</v>
      </c>
      <c r="S33">
        <v>17.537500000000001</v>
      </c>
      <c r="T33">
        <v>9</v>
      </c>
      <c r="U33">
        <v>8</v>
      </c>
      <c r="V33">
        <v>0</v>
      </c>
      <c r="W33">
        <v>0</v>
      </c>
      <c r="X33">
        <v>160000</v>
      </c>
      <c r="Y33">
        <v>1</v>
      </c>
      <c r="Z33">
        <v>0</v>
      </c>
      <c r="AA33" t="s">
        <v>114</v>
      </c>
      <c r="AB33" t="s">
        <v>155</v>
      </c>
      <c r="AC33" s="2">
        <v>0.11600000000000001</v>
      </c>
      <c r="AD33" t="s">
        <v>186</v>
      </c>
      <c r="AE33" s="2">
        <v>0.85099999999999998</v>
      </c>
      <c r="AF33">
        <v>6</v>
      </c>
    </row>
    <row r="34" spans="1:36" x14ac:dyDescent="0.35">
      <c r="A34" t="s">
        <v>37</v>
      </c>
      <c r="B34" t="s">
        <v>85</v>
      </c>
      <c r="C34">
        <v>30</v>
      </c>
      <c r="D34">
        <v>12</v>
      </c>
      <c r="F34">
        <v>16</v>
      </c>
      <c r="G34">
        <v>16</v>
      </c>
      <c r="H34">
        <v>136</v>
      </c>
      <c r="I34">
        <v>72</v>
      </c>
      <c r="K34">
        <v>334</v>
      </c>
      <c r="L34">
        <v>134</v>
      </c>
      <c r="M34">
        <v>160</v>
      </c>
      <c r="O34">
        <v>6</v>
      </c>
      <c r="P34" t="e">
        <f ca="1">_xludf.VAR.P(C34, D34, F34, G34)</f>
        <v>#NAME?</v>
      </c>
      <c r="Q34" s="1">
        <v>0.71044776119402986</v>
      </c>
      <c r="R34">
        <v>2.4558823529411771</v>
      </c>
      <c r="S34">
        <v>1.8611111111111109</v>
      </c>
      <c r="T34">
        <v>11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 t="s">
        <v>88</v>
      </c>
      <c r="AB34" t="s">
        <v>136</v>
      </c>
      <c r="AC34" s="2">
        <v>1</v>
      </c>
      <c r="AD34" t="s">
        <v>175</v>
      </c>
      <c r="AE34" s="2">
        <v>0</v>
      </c>
      <c r="AF34">
        <v>1</v>
      </c>
    </row>
    <row r="35" spans="1:36" x14ac:dyDescent="0.35">
      <c r="A35" s="18" t="s">
        <v>38</v>
      </c>
      <c r="B35" t="s">
        <v>85</v>
      </c>
      <c r="C35">
        <v>31</v>
      </c>
      <c r="D35">
        <v>12</v>
      </c>
      <c r="E35">
        <v>4.4000000000000004</v>
      </c>
      <c r="F35">
        <v>15</v>
      </c>
      <c r="G35">
        <v>17</v>
      </c>
      <c r="H35">
        <v>888</v>
      </c>
      <c r="I35">
        <v>99</v>
      </c>
      <c r="K35">
        <v>8899</v>
      </c>
      <c r="L35">
        <v>467</v>
      </c>
      <c r="M35">
        <v>892</v>
      </c>
      <c r="O35">
        <v>6</v>
      </c>
      <c r="P35" t="e">
        <f ca="1">_xludf.VAR.P(C35, D35, F35, G35)</f>
        <v>#NAME?</v>
      </c>
      <c r="Q35" s="1">
        <v>0.88404004049038354</v>
      </c>
      <c r="R35">
        <v>10.021396396396399</v>
      </c>
      <c r="S35">
        <v>4.7171717171717171</v>
      </c>
      <c r="T35">
        <v>17</v>
      </c>
      <c r="U35">
        <v>0</v>
      </c>
      <c r="V35">
        <v>0</v>
      </c>
      <c r="W35">
        <v>0</v>
      </c>
      <c r="X35">
        <v>3390</v>
      </c>
      <c r="Y35">
        <v>0</v>
      </c>
      <c r="Z35">
        <v>0</v>
      </c>
      <c r="AA35" t="s">
        <v>89</v>
      </c>
      <c r="AB35" t="s">
        <v>138</v>
      </c>
      <c r="AC35" s="2">
        <v>0.90599999999999992</v>
      </c>
      <c r="AD35" t="s">
        <v>177</v>
      </c>
      <c r="AE35" s="2">
        <v>2.9000000000000001E-2</v>
      </c>
      <c r="AF35">
        <v>10</v>
      </c>
    </row>
    <row r="36" spans="1:36" x14ac:dyDescent="0.35">
      <c r="A36" s="18" t="s">
        <v>74</v>
      </c>
      <c r="B36" t="s">
        <v>85</v>
      </c>
      <c r="C36">
        <v>12</v>
      </c>
      <c r="D36">
        <v>12</v>
      </c>
      <c r="F36">
        <v>5</v>
      </c>
      <c r="G36">
        <v>15</v>
      </c>
      <c r="H36">
        <v>108</v>
      </c>
      <c r="I36">
        <v>53</v>
      </c>
      <c r="K36">
        <v>3775</v>
      </c>
      <c r="L36">
        <v>77</v>
      </c>
      <c r="M36">
        <v>80</v>
      </c>
      <c r="O36">
        <v>19</v>
      </c>
      <c r="P36" t="e">
        <f ca="1">_xludf.VAR.P(C36, D36, F36, G36)</f>
        <v>#NAME?</v>
      </c>
      <c r="Q36" s="1">
        <v>0.9891390728476821</v>
      </c>
      <c r="R36">
        <v>34.953703703703702</v>
      </c>
      <c r="S36">
        <v>1.452830188679245</v>
      </c>
      <c r="T36">
        <v>9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 t="s">
        <v>125</v>
      </c>
      <c r="AB36" t="s">
        <v>136</v>
      </c>
      <c r="AC36" s="2">
        <v>1</v>
      </c>
      <c r="AD36" t="s">
        <v>175</v>
      </c>
      <c r="AE36" s="2">
        <v>0</v>
      </c>
      <c r="AF36">
        <v>1</v>
      </c>
    </row>
    <row r="37" spans="1:36" hidden="1" x14ac:dyDescent="0.35">
      <c r="A37" t="s">
        <v>68</v>
      </c>
      <c r="B37" t="s">
        <v>85</v>
      </c>
      <c r="C37">
        <v>51</v>
      </c>
      <c r="D37">
        <v>6</v>
      </c>
      <c r="F37">
        <v>9</v>
      </c>
      <c r="G37">
        <v>24</v>
      </c>
      <c r="H37">
        <v>517</v>
      </c>
      <c r="I37">
        <v>1222</v>
      </c>
      <c r="K37">
        <v>2467</v>
      </c>
      <c r="L37">
        <v>1906</v>
      </c>
      <c r="M37">
        <v>582</v>
      </c>
      <c r="O37">
        <v>15</v>
      </c>
      <c r="P37" t="e">
        <f ca="1">_xludf.VAR.P(C37, D37, F37, G37)</f>
        <v>#NAME?</v>
      </c>
      <c r="Q37" s="1">
        <v>0.56546412646939603</v>
      </c>
      <c r="R37">
        <v>4.7717601547388782</v>
      </c>
      <c r="S37">
        <v>1.5597381342062191</v>
      </c>
      <c r="T37">
        <v>6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 t="s">
        <v>119</v>
      </c>
      <c r="AB37" t="s">
        <v>159</v>
      </c>
      <c r="AC37" s="2">
        <v>0.98099999999999998</v>
      </c>
      <c r="AD37" t="s">
        <v>177</v>
      </c>
      <c r="AE37" s="2">
        <v>6.0000000000000001E-3</v>
      </c>
      <c r="AF37">
        <v>7</v>
      </c>
    </row>
    <row r="38" spans="1:36" hidden="1" x14ac:dyDescent="0.35">
      <c r="A38" t="s">
        <v>69</v>
      </c>
      <c r="B38" t="s">
        <v>85</v>
      </c>
      <c r="C38">
        <v>31</v>
      </c>
      <c r="D38">
        <v>5</v>
      </c>
      <c r="F38">
        <v>6</v>
      </c>
      <c r="G38">
        <v>17</v>
      </c>
      <c r="H38">
        <v>110</v>
      </c>
      <c r="I38">
        <v>69</v>
      </c>
      <c r="K38">
        <v>434</v>
      </c>
      <c r="L38">
        <v>150</v>
      </c>
      <c r="M38">
        <v>138</v>
      </c>
      <c r="O38">
        <v>16</v>
      </c>
      <c r="P38" t="e">
        <f ca="1">_xludf.VAR.P(C38, D38, F38, G38)</f>
        <v>#NAME?</v>
      </c>
      <c r="Q38" s="1">
        <v>0.46436781609195399</v>
      </c>
      <c r="R38">
        <v>3.9454545454545449</v>
      </c>
      <c r="S38">
        <v>2.1739130434782612</v>
      </c>
      <c r="T38">
        <v>5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 t="s">
        <v>120</v>
      </c>
      <c r="AB38" t="s">
        <v>160</v>
      </c>
      <c r="AC38" s="2">
        <v>0.98599999999999999</v>
      </c>
      <c r="AD38" t="s">
        <v>176</v>
      </c>
      <c r="AE38" s="2">
        <v>6.0000000000000001E-3</v>
      </c>
      <c r="AF38">
        <v>3</v>
      </c>
    </row>
    <row r="39" spans="1:36" hidden="1" x14ac:dyDescent="0.35">
      <c r="A39" t="s">
        <v>70</v>
      </c>
      <c r="B39" t="s">
        <v>85</v>
      </c>
      <c r="C39">
        <v>22</v>
      </c>
      <c r="D39">
        <v>6</v>
      </c>
      <c r="F39">
        <v>10</v>
      </c>
      <c r="G39">
        <v>15</v>
      </c>
      <c r="H39">
        <v>70</v>
      </c>
      <c r="I39">
        <v>30</v>
      </c>
      <c r="K39">
        <v>273</v>
      </c>
      <c r="L39">
        <v>160</v>
      </c>
      <c r="M39">
        <v>87</v>
      </c>
      <c r="O39">
        <v>16</v>
      </c>
      <c r="P39" t="e">
        <f ca="1">_xludf.VAR.P(C39, D39, F39, G39)</f>
        <v>#NAME?</v>
      </c>
      <c r="Q39" s="1">
        <v>0.91941391941391937</v>
      </c>
      <c r="R39">
        <v>3.9</v>
      </c>
      <c r="S39">
        <v>5.333333333333333</v>
      </c>
      <c r="T39">
        <v>7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 t="s">
        <v>121</v>
      </c>
      <c r="AB39" t="s">
        <v>161</v>
      </c>
      <c r="AC39" s="2">
        <v>0.99299999999999999</v>
      </c>
      <c r="AD39" t="s">
        <v>187</v>
      </c>
      <c r="AE39" s="2">
        <v>6.0000000000000001E-3</v>
      </c>
      <c r="AF39">
        <v>2</v>
      </c>
    </row>
    <row r="40" spans="1:36" hidden="1" x14ac:dyDescent="0.35">
      <c r="A40" t="s">
        <v>71</v>
      </c>
      <c r="B40" t="s">
        <v>85</v>
      </c>
      <c r="C40">
        <v>31</v>
      </c>
      <c r="D40">
        <v>5</v>
      </c>
      <c r="F40">
        <v>8</v>
      </c>
      <c r="G40">
        <v>15</v>
      </c>
      <c r="H40">
        <v>326</v>
      </c>
      <c r="I40">
        <v>124</v>
      </c>
      <c r="K40">
        <v>1184</v>
      </c>
      <c r="L40">
        <v>410</v>
      </c>
      <c r="M40">
        <v>421</v>
      </c>
      <c r="O40">
        <v>16</v>
      </c>
      <c r="P40" t="e">
        <f ca="1">_xludf.VAR.P(C40, D40, F40, G40)</f>
        <v>#NAME?</v>
      </c>
      <c r="Q40" s="1">
        <v>0.83375527426160334</v>
      </c>
      <c r="R40">
        <v>3.631901840490797</v>
      </c>
      <c r="S40">
        <v>3.306451612903226</v>
      </c>
      <c r="T40">
        <v>5</v>
      </c>
      <c r="U40">
        <v>0</v>
      </c>
      <c r="V40">
        <v>0</v>
      </c>
      <c r="W40">
        <v>0</v>
      </c>
      <c r="X40">
        <v>4</v>
      </c>
      <c r="Y40">
        <v>0</v>
      </c>
      <c r="Z40">
        <v>1</v>
      </c>
      <c r="AA40" t="s">
        <v>122</v>
      </c>
      <c r="AB40" t="s">
        <v>162</v>
      </c>
      <c r="AC40" s="2">
        <v>0.72299999999999998</v>
      </c>
      <c r="AD40" t="s">
        <v>182</v>
      </c>
      <c r="AE40" s="2">
        <v>9.5000000000000001E-2</v>
      </c>
      <c r="AF40">
        <v>10</v>
      </c>
    </row>
    <row r="41" spans="1:36" hidden="1" x14ac:dyDescent="0.35">
      <c r="A41" t="s">
        <v>72</v>
      </c>
      <c r="B41" t="s">
        <v>85</v>
      </c>
      <c r="C41">
        <v>14</v>
      </c>
      <c r="D41">
        <v>7</v>
      </c>
      <c r="F41">
        <v>10</v>
      </c>
      <c r="G41">
        <v>16</v>
      </c>
      <c r="H41">
        <v>134</v>
      </c>
      <c r="I41">
        <v>66</v>
      </c>
      <c r="K41">
        <v>252</v>
      </c>
      <c r="L41">
        <v>2169</v>
      </c>
      <c r="M41">
        <v>136</v>
      </c>
      <c r="O41">
        <v>17</v>
      </c>
      <c r="P41" t="e">
        <f ca="1">_xludf.VAR.P(C41, D41, F41, G41)</f>
        <v>#NAME?</v>
      </c>
      <c r="Q41" s="1">
        <v>0.73015873015873012</v>
      </c>
      <c r="R41">
        <v>1.880597014925373</v>
      </c>
      <c r="S41">
        <v>32.863636363636367</v>
      </c>
      <c r="T41">
        <v>9</v>
      </c>
      <c r="U41">
        <v>0</v>
      </c>
      <c r="V41">
        <v>0</v>
      </c>
      <c r="W41">
        <v>0</v>
      </c>
      <c r="X41">
        <v>3</v>
      </c>
      <c r="Y41">
        <v>3</v>
      </c>
      <c r="Z41">
        <v>0</v>
      </c>
      <c r="AA41" t="s">
        <v>123</v>
      </c>
      <c r="AB41" t="s">
        <v>163</v>
      </c>
      <c r="AC41" s="2">
        <v>0.79500000000000004</v>
      </c>
      <c r="AD41" t="s">
        <v>188</v>
      </c>
      <c r="AE41" s="2">
        <v>0.19900000000000001</v>
      </c>
      <c r="AF41">
        <v>3</v>
      </c>
    </row>
    <row r="42" spans="1:36" x14ac:dyDescent="0.35">
      <c r="A42" t="s">
        <v>35</v>
      </c>
      <c r="B42" t="s">
        <v>85</v>
      </c>
      <c r="C42">
        <v>27</v>
      </c>
      <c r="D42">
        <v>11</v>
      </c>
      <c r="F42">
        <v>24</v>
      </c>
      <c r="G42">
        <v>17</v>
      </c>
      <c r="H42">
        <v>154</v>
      </c>
      <c r="I42">
        <v>57</v>
      </c>
      <c r="K42">
        <v>560</v>
      </c>
      <c r="L42">
        <v>158</v>
      </c>
      <c r="M42">
        <v>188</v>
      </c>
      <c r="O42">
        <v>4</v>
      </c>
      <c r="P42" t="e">
        <f ca="1">_xludf.VAR.P(C42, D42, F42, G42)</f>
        <v>#NAME?</v>
      </c>
      <c r="Q42" s="1">
        <v>0.57321428571428568</v>
      </c>
      <c r="R42">
        <v>3.6363636363636358</v>
      </c>
      <c r="S42">
        <v>2.7719298245614041</v>
      </c>
      <c r="T42">
        <v>26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 t="s">
        <v>86</v>
      </c>
      <c r="AB42" t="s">
        <v>136</v>
      </c>
      <c r="AC42" s="2">
        <v>1</v>
      </c>
      <c r="AD42" t="s">
        <v>175</v>
      </c>
      <c r="AE42" s="2">
        <v>0</v>
      </c>
      <c r="AF42">
        <v>1</v>
      </c>
    </row>
    <row r="43" spans="1:36" x14ac:dyDescent="0.35">
      <c r="A43" s="18" t="s">
        <v>41</v>
      </c>
      <c r="B43" t="s">
        <v>85</v>
      </c>
      <c r="C43">
        <v>22</v>
      </c>
      <c r="D43">
        <v>11</v>
      </c>
      <c r="E43">
        <v>5</v>
      </c>
      <c r="F43">
        <v>11</v>
      </c>
      <c r="G43">
        <v>15</v>
      </c>
      <c r="H43">
        <v>91</v>
      </c>
      <c r="I43">
        <v>55</v>
      </c>
      <c r="K43">
        <v>188</v>
      </c>
      <c r="L43">
        <v>3387</v>
      </c>
      <c r="M43">
        <v>100</v>
      </c>
      <c r="O43">
        <v>8</v>
      </c>
      <c r="P43" t="e">
        <f ca="1">_xludf.VAR.P(C43, D43, F43, G43)</f>
        <v>#NAME?</v>
      </c>
      <c r="Q43" s="1">
        <v>0.57671957671957674</v>
      </c>
      <c r="R43">
        <v>2.0659340659340661</v>
      </c>
      <c r="S43">
        <v>61.581818181818178</v>
      </c>
      <c r="T43">
        <v>16</v>
      </c>
      <c r="U43">
        <v>0</v>
      </c>
      <c r="V43">
        <v>2</v>
      </c>
      <c r="W43">
        <v>0</v>
      </c>
      <c r="X43">
        <v>1</v>
      </c>
      <c r="Y43">
        <v>3</v>
      </c>
      <c r="Z43">
        <v>0</v>
      </c>
      <c r="AA43" t="s">
        <v>92</v>
      </c>
      <c r="AB43" t="s">
        <v>136</v>
      </c>
      <c r="AC43" s="2">
        <v>1</v>
      </c>
      <c r="AD43" t="s">
        <v>175</v>
      </c>
      <c r="AE43" s="2">
        <v>0</v>
      </c>
      <c r="AF43">
        <v>1</v>
      </c>
      <c r="AJ43" t="s">
        <v>205</v>
      </c>
    </row>
    <row r="44" spans="1:36" x14ac:dyDescent="0.35">
      <c r="A44" s="18" t="s">
        <v>78</v>
      </c>
      <c r="B44" t="s">
        <v>85</v>
      </c>
      <c r="C44">
        <v>61</v>
      </c>
      <c r="D44">
        <v>11</v>
      </c>
      <c r="E44">
        <v>36</v>
      </c>
      <c r="F44">
        <v>7</v>
      </c>
      <c r="G44">
        <v>23</v>
      </c>
      <c r="H44">
        <v>1034</v>
      </c>
      <c r="I44">
        <v>113</v>
      </c>
      <c r="K44">
        <v>20959</v>
      </c>
      <c r="L44">
        <v>1352</v>
      </c>
      <c r="M44">
        <v>648</v>
      </c>
      <c r="O44">
        <v>22</v>
      </c>
      <c r="P44" t="e">
        <f ca="1">_xludf.VAR.P(C44, D44, F44, G44)</f>
        <v>#NAME?</v>
      </c>
      <c r="Q44" s="1">
        <v>0.96394288170399733</v>
      </c>
      <c r="R44">
        <v>20.269825918762091</v>
      </c>
      <c r="S44">
        <v>11.964601769911511</v>
      </c>
      <c r="T44">
        <v>2</v>
      </c>
      <c r="U44">
        <v>0</v>
      </c>
      <c r="V44">
        <v>1</v>
      </c>
      <c r="W44">
        <v>0</v>
      </c>
      <c r="X44">
        <v>481</v>
      </c>
      <c r="Y44">
        <v>0</v>
      </c>
      <c r="Z44">
        <v>0</v>
      </c>
      <c r="AA44" t="s">
        <v>129</v>
      </c>
      <c r="AB44" t="s">
        <v>168</v>
      </c>
      <c r="AC44" s="2">
        <v>0.94799999999999995</v>
      </c>
      <c r="AD44" t="s">
        <v>182</v>
      </c>
      <c r="AE44" s="2">
        <v>1.9E-2</v>
      </c>
      <c r="AF44">
        <v>10</v>
      </c>
      <c r="AJ44" t="s">
        <v>204</v>
      </c>
    </row>
    <row r="45" spans="1:36" hidden="1" x14ac:dyDescent="0.35">
      <c r="A45" t="s">
        <v>76</v>
      </c>
      <c r="B45" t="s">
        <v>85</v>
      </c>
      <c r="C45">
        <v>20</v>
      </c>
      <c r="D45">
        <v>5</v>
      </c>
      <c r="F45">
        <v>5</v>
      </c>
      <c r="G45">
        <v>14</v>
      </c>
      <c r="H45">
        <v>111</v>
      </c>
      <c r="I45">
        <v>39</v>
      </c>
      <c r="K45">
        <v>166</v>
      </c>
      <c r="L45">
        <v>45</v>
      </c>
      <c r="M45">
        <v>114</v>
      </c>
      <c r="O45">
        <v>21</v>
      </c>
      <c r="P45" t="e">
        <f ca="1">_xludf.VAR.P(C45, D45, F45, G45)</f>
        <v>#NAME?</v>
      </c>
      <c r="Q45" s="1">
        <v>0.80722891566265065</v>
      </c>
      <c r="R45">
        <v>1.495495495495496</v>
      </c>
      <c r="S45">
        <v>1.153846153846154</v>
      </c>
      <c r="T45">
        <v>9</v>
      </c>
      <c r="U45">
        <v>1</v>
      </c>
      <c r="V45">
        <v>0</v>
      </c>
      <c r="W45">
        <v>0</v>
      </c>
      <c r="X45">
        <v>1</v>
      </c>
      <c r="Y45">
        <v>2</v>
      </c>
      <c r="Z45">
        <v>0</v>
      </c>
      <c r="AA45" t="s">
        <v>127</v>
      </c>
      <c r="AB45" t="s">
        <v>166</v>
      </c>
      <c r="AC45" s="2">
        <v>0.875</v>
      </c>
      <c r="AD45" t="s">
        <v>183</v>
      </c>
      <c r="AE45" s="2">
        <v>4.0999999999999988E-2</v>
      </c>
      <c r="AF45">
        <v>4</v>
      </c>
    </row>
    <row r="46" spans="1:36" hidden="1" x14ac:dyDescent="0.35">
      <c r="A46" t="s">
        <v>77</v>
      </c>
      <c r="B46" t="s">
        <v>85</v>
      </c>
      <c r="C46">
        <v>28</v>
      </c>
      <c r="D46">
        <v>5</v>
      </c>
      <c r="F46">
        <v>13</v>
      </c>
      <c r="G46">
        <v>18</v>
      </c>
      <c r="H46">
        <v>188</v>
      </c>
      <c r="I46">
        <v>104</v>
      </c>
      <c r="K46">
        <v>1034</v>
      </c>
      <c r="L46">
        <v>698</v>
      </c>
      <c r="M46">
        <v>197</v>
      </c>
      <c r="O46">
        <v>21</v>
      </c>
      <c r="P46" t="e">
        <f ca="1">_xludf.VAR.P(C46, D46, F46, G46)</f>
        <v>#NAME?</v>
      </c>
      <c r="Q46" s="1">
        <v>0.50943396226415094</v>
      </c>
      <c r="R46">
        <v>5.5</v>
      </c>
      <c r="S46">
        <v>6.7115384615384617</v>
      </c>
      <c r="T46">
        <v>12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 t="s">
        <v>128</v>
      </c>
      <c r="AB46" t="s">
        <v>167</v>
      </c>
      <c r="AC46" s="2">
        <v>0.998</v>
      </c>
      <c r="AD46" t="s">
        <v>178</v>
      </c>
      <c r="AE46" s="2">
        <v>1E-3</v>
      </c>
      <c r="AF46">
        <v>2</v>
      </c>
    </row>
    <row r="47" spans="1:36" x14ac:dyDescent="0.35">
      <c r="A47" t="s">
        <v>65</v>
      </c>
      <c r="B47" t="s">
        <v>85</v>
      </c>
      <c r="C47">
        <v>11</v>
      </c>
      <c r="D47">
        <v>10</v>
      </c>
      <c r="F47">
        <v>8</v>
      </c>
      <c r="G47">
        <v>13</v>
      </c>
      <c r="H47">
        <v>62</v>
      </c>
      <c r="I47">
        <v>26</v>
      </c>
      <c r="K47">
        <v>130</v>
      </c>
      <c r="L47">
        <v>59</v>
      </c>
      <c r="M47">
        <v>64</v>
      </c>
      <c r="O47">
        <v>14</v>
      </c>
      <c r="P47" t="e">
        <f ca="1">_xludf.VAR.P(C47, D47, F47, G47)</f>
        <v>#NAME?</v>
      </c>
      <c r="Q47" s="1">
        <v>0.68932038834951459</v>
      </c>
      <c r="R47">
        <v>2.096774193548387</v>
      </c>
      <c r="S47">
        <v>2.2692307692307692</v>
      </c>
      <c r="T47">
        <v>4</v>
      </c>
      <c r="U47">
        <v>0</v>
      </c>
      <c r="V47">
        <v>0</v>
      </c>
      <c r="W47">
        <v>0</v>
      </c>
      <c r="X47">
        <v>55</v>
      </c>
      <c r="Y47">
        <v>0</v>
      </c>
      <c r="Z47">
        <v>0</v>
      </c>
      <c r="AA47" t="s">
        <v>116</v>
      </c>
      <c r="AB47" t="s">
        <v>136</v>
      </c>
      <c r="AC47" s="2">
        <v>1</v>
      </c>
      <c r="AD47" t="s">
        <v>175</v>
      </c>
      <c r="AE47" s="2">
        <v>0</v>
      </c>
      <c r="AF47">
        <v>1</v>
      </c>
    </row>
    <row r="48" spans="1:36" hidden="1" x14ac:dyDescent="0.35">
      <c r="A48" t="s">
        <v>79</v>
      </c>
      <c r="B48" t="s">
        <v>85</v>
      </c>
      <c r="C48">
        <v>21</v>
      </c>
      <c r="D48">
        <v>5</v>
      </c>
      <c r="F48">
        <v>12</v>
      </c>
      <c r="G48">
        <v>14</v>
      </c>
      <c r="H48">
        <v>103</v>
      </c>
      <c r="I48">
        <v>35</v>
      </c>
      <c r="K48">
        <v>209</v>
      </c>
      <c r="L48">
        <v>249</v>
      </c>
      <c r="M48">
        <v>113</v>
      </c>
      <c r="O48">
        <v>22</v>
      </c>
      <c r="P48" t="e">
        <f ca="1">_xludf.VAR.P(C48, D48, F48, G48)</f>
        <v>#NAME?</v>
      </c>
      <c r="Q48" s="1">
        <v>0.74761904761904763</v>
      </c>
      <c r="R48">
        <v>2.029126213592233</v>
      </c>
      <c r="S48">
        <v>7.1142857142857139</v>
      </c>
      <c r="T48">
        <v>26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 t="s">
        <v>130</v>
      </c>
      <c r="AB48" t="s">
        <v>169</v>
      </c>
      <c r="AC48" s="2">
        <v>0.20799999999999999</v>
      </c>
      <c r="AD48" t="s">
        <v>180</v>
      </c>
      <c r="AE48" s="2">
        <v>0.79099999999999993</v>
      </c>
      <c r="AF48">
        <v>2</v>
      </c>
    </row>
    <row r="49" spans="1:36" hidden="1" x14ac:dyDescent="0.35">
      <c r="A49" t="s">
        <v>80</v>
      </c>
      <c r="B49" t="s">
        <v>85</v>
      </c>
      <c r="C49">
        <v>24</v>
      </c>
      <c r="D49">
        <v>5</v>
      </c>
      <c r="F49">
        <v>13</v>
      </c>
      <c r="G49">
        <v>13</v>
      </c>
      <c r="H49">
        <v>229</v>
      </c>
      <c r="I49">
        <v>59</v>
      </c>
      <c r="K49">
        <v>987</v>
      </c>
      <c r="L49">
        <v>248</v>
      </c>
      <c r="M49">
        <v>189</v>
      </c>
      <c r="O49">
        <v>23</v>
      </c>
      <c r="P49" t="e">
        <f ca="1">_xludf.VAR.P(C49, D49, F49, G49)</f>
        <v>#NAME?</v>
      </c>
      <c r="Q49" s="1">
        <v>0.94224924012158051</v>
      </c>
      <c r="R49">
        <v>4.3100436681222707</v>
      </c>
      <c r="S49">
        <v>4.2033898305084749</v>
      </c>
      <c r="T49">
        <v>8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 t="s">
        <v>131</v>
      </c>
      <c r="AB49" t="s">
        <v>170</v>
      </c>
      <c r="AC49" s="2">
        <v>0.88500000000000001</v>
      </c>
      <c r="AD49" t="s">
        <v>190</v>
      </c>
      <c r="AE49" s="2">
        <v>7.0000000000000007E-2</v>
      </c>
      <c r="AF49">
        <v>6</v>
      </c>
    </row>
    <row r="50" spans="1:36" x14ac:dyDescent="0.35">
      <c r="A50" t="s">
        <v>60</v>
      </c>
      <c r="B50" t="s">
        <v>85</v>
      </c>
      <c r="C50">
        <v>18</v>
      </c>
      <c r="D50">
        <v>9</v>
      </c>
      <c r="F50">
        <v>8</v>
      </c>
      <c r="G50">
        <v>14</v>
      </c>
      <c r="H50">
        <v>53</v>
      </c>
      <c r="I50">
        <v>26</v>
      </c>
      <c r="K50">
        <v>122</v>
      </c>
      <c r="L50">
        <v>85</v>
      </c>
      <c r="M50">
        <v>60</v>
      </c>
      <c r="O50">
        <v>13</v>
      </c>
      <c r="P50" t="e">
        <f ca="1">_xludf.VAR.P(C50, D50, F50, G50)</f>
        <v>#NAME?</v>
      </c>
      <c r="Q50" s="1">
        <v>0.41803278688524592</v>
      </c>
      <c r="R50">
        <v>2.3018867924528301</v>
      </c>
      <c r="S50">
        <v>3.2692307692307692</v>
      </c>
      <c r="T50">
        <v>17</v>
      </c>
      <c r="U50">
        <v>0</v>
      </c>
      <c r="V50">
        <v>0</v>
      </c>
      <c r="W50">
        <v>0</v>
      </c>
      <c r="X50">
        <v>4</v>
      </c>
      <c r="Y50">
        <v>1</v>
      </c>
      <c r="Z50">
        <v>0</v>
      </c>
      <c r="AA50" t="s">
        <v>111</v>
      </c>
      <c r="AB50" t="s">
        <v>153</v>
      </c>
      <c r="AC50" s="2">
        <v>0.877</v>
      </c>
      <c r="AD50" t="s">
        <v>177</v>
      </c>
      <c r="AE50" s="2">
        <v>8.1000000000000003E-2</v>
      </c>
      <c r="AF50">
        <v>4</v>
      </c>
    </row>
    <row r="51" spans="1:36" hidden="1" x14ac:dyDescent="0.35">
      <c r="A51" t="s">
        <v>82</v>
      </c>
      <c r="B51" t="s">
        <v>85</v>
      </c>
      <c r="C51">
        <v>27</v>
      </c>
      <c r="D51">
        <v>5</v>
      </c>
      <c r="F51">
        <v>5</v>
      </c>
      <c r="G51">
        <v>15</v>
      </c>
      <c r="H51">
        <v>321</v>
      </c>
      <c r="I51">
        <v>57</v>
      </c>
      <c r="K51">
        <v>3315</v>
      </c>
      <c r="L51">
        <v>83</v>
      </c>
      <c r="M51">
        <v>316</v>
      </c>
      <c r="O51">
        <v>25</v>
      </c>
      <c r="P51" t="e">
        <f ca="1">_xludf.VAR.P(C51, D51, F51, G51)</f>
        <v>#NAME?</v>
      </c>
      <c r="Q51" s="1">
        <v>0.80657815328907667</v>
      </c>
      <c r="R51">
        <v>10.32710280373832</v>
      </c>
      <c r="S51">
        <v>1.4561403508771931</v>
      </c>
      <c r="T51">
        <v>7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 t="s">
        <v>133</v>
      </c>
      <c r="AB51" t="s">
        <v>172</v>
      </c>
      <c r="AC51" s="2">
        <v>0.40500000000000003</v>
      </c>
      <c r="AD51" t="s">
        <v>185</v>
      </c>
      <c r="AE51" s="2">
        <v>0.189</v>
      </c>
      <c r="AF51">
        <v>6</v>
      </c>
    </row>
    <row r="52" spans="1:36" hidden="1" x14ac:dyDescent="0.35">
      <c r="A52" t="s">
        <v>83</v>
      </c>
      <c r="B52" t="s">
        <v>85</v>
      </c>
      <c r="C52">
        <v>41</v>
      </c>
      <c r="D52">
        <v>5</v>
      </c>
      <c r="F52">
        <v>6</v>
      </c>
      <c r="G52">
        <v>23</v>
      </c>
      <c r="H52">
        <v>968</v>
      </c>
      <c r="I52">
        <v>245</v>
      </c>
      <c r="K52">
        <v>13202</v>
      </c>
      <c r="L52">
        <v>1009</v>
      </c>
      <c r="M52">
        <v>567</v>
      </c>
      <c r="O52">
        <v>27</v>
      </c>
      <c r="P52" t="e">
        <f ca="1">_xludf.VAR.P(C52, D52, F52, G52)</f>
        <v>#NAME?</v>
      </c>
      <c r="Q52" s="1">
        <v>0.91677375462997956</v>
      </c>
      <c r="R52">
        <v>13.63842975206612</v>
      </c>
      <c r="S52">
        <v>4.1183673469387756</v>
      </c>
      <c r="T52">
        <v>4</v>
      </c>
      <c r="U52">
        <v>9</v>
      </c>
      <c r="V52">
        <v>3</v>
      </c>
      <c r="W52">
        <v>1</v>
      </c>
      <c r="X52">
        <v>1</v>
      </c>
      <c r="Y52">
        <v>0</v>
      </c>
      <c r="Z52">
        <v>0</v>
      </c>
      <c r="AA52" t="s">
        <v>134</v>
      </c>
      <c r="AB52" t="s">
        <v>173</v>
      </c>
      <c r="AC52" s="2">
        <v>0.71799999999999997</v>
      </c>
      <c r="AD52" t="s">
        <v>180</v>
      </c>
      <c r="AE52" s="2">
        <v>0.13900000000000001</v>
      </c>
      <c r="AF52">
        <v>10</v>
      </c>
    </row>
    <row r="53" spans="1:36" x14ac:dyDescent="0.35">
      <c r="A53" s="18" t="s">
        <v>66</v>
      </c>
      <c r="B53" t="s">
        <v>85</v>
      </c>
      <c r="C53">
        <v>17</v>
      </c>
      <c r="D53">
        <v>9</v>
      </c>
      <c r="F53">
        <v>15</v>
      </c>
      <c r="G53">
        <v>17</v>
      </c>
      <c r="H53">
        <v>107</v>
      </c>
      <c r="I53">
        <v>38</v>
      </c>
      <c r="K53">
        <v>214</v>
      </c>
      <c r="L53">
        <v>66</v>
      </c>
      <c r="M53">
        <v>118</v>
      </c>
      <c r="O53">
        <v>14</v>
      </c>
      <c r="P53" t="e">
        <f ca="1">_xludf.VAR.P(C53, D53, F53, G53)</f>
        <v>#NAME?</v>
      </c>
      <c r="Q53" s="15">
        <v>0.62962962962962965</v>
      </c>
      <c r="R53">
        <v>2</v>
      </c>
      <c r="S53">
        <v>1.736842105263158</v>
      </c>
      <c r="T53">
        <v>5</v>
      </c>
      <c r="U53">
        <v>16</v>
      </c>
      <c r="V53">
        <v>7</v>
      </c>
      <c r="W53">
        <v>7</v>
      </c>
      <c r="X53">
        <v>2</v>
      </c>
      <c r="Y53">
        <v>1</v>
      </c>
      <c r="Z53">
        <v>0</v>
      </c>
      <c r="AA53" t="s">
        <v>117</v>
      </c>
      <c r="AB53" t="s">
        <v>157</v>
      </c>
      <c r="AC53" s="16">
        <v>0.67599999999999993</v>
      </c>
      <c r="AD53" t="s">
        <v>180</v>
      </c>
      <c r="AE53" s="16">
        <v>6.0999999999999999E-2</v>
      </c>
      <c r="AF53">
        <v>10</v>
      </c>
      <c r="AJ53" t="s">
        <v>203</v>
      </c>
    </row>
  </sheetData>
  <mergeCells count="8">
    <mergeCell ref="Q1:S1"/>
    <mergeCell ref="T1:Z1"/>
    <mergeCell ref="AA1:AE1"/>
    <mergeCell ref="A1:B1"/>
    <mergeCell ref="C1:E1"/>
    <mergeCell ref="F1:G1"/>
    <mergeCell ref="H1:J1"/>
    <mergeCell ref="K1:N1"/>
  </mergeCells>
  <conditionalFormatting sqref="X4:X53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2025-03-18T06:19:03Z</dcterms:created>
  <dcterms:modified xsi:type="dcterms:W3CDTF">2025-03-18T08:16:30Z</dcterms:modified>
</cp:coreProperties>
</file>