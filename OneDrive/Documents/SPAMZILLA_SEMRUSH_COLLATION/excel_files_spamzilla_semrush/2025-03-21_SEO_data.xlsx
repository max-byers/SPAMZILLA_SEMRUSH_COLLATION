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https://d.docs.live.net/34f2fb4fcf8a4a64/Documents/SPAMZILLA_SEMRUSH_COLLATION/"/>
    </mc:Choice>
  </mc:AlternateContent>
  <xr:revisionPtr revIDLastSave="94" documentId="11_FF0B4239AE31921FD2FEB6E4A066C51CEB17583D" xr6:coauthVersionLast="47" xr6:coauthVersionMax="47" xr10:uidLastSave="{3F6237DA-CF6E-403E-9B3F-5151A3746A88}"/>
  <bookViews>
    <workbookView minimized="1" xWindow="6430" yWindow="2040" windowWidth="7500" windowHeight="69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 i="1" l="1"/>
  <c r="P26" i="1"/>
  <c r="P55" i="1"/>
  <c r="P29" i="1"/>
  <c r="P9" i="1"/>
  <c r="P39" i="1"/>
  <c r="P18" i="1"/>
  <c r="P8" i="1"/>
  <c r="P65" i="1"/>
  <c r="P72" i="1"/>
  <c r="P27" i="1"/>
  <c r="P68" i="1"/>
  <c r="P21" i="1"/>
  <c r="P3" i="1"/>
  <c r="P71" i="1"/>
  <c r="P34" i="1"/>
  <c r="P31" i="1"/>
  <c r="P46" i="1"/>
  <c r="P50" i="1"/>
  <c r="P12" i="1"/>
  <c r="P64" i="1"/>
  <c r="P40" i="1"/>
  <c r="P63" i="1"/>
  <c r="P28" i="1"/>
  <c r="P47" i="1"/>
  <c r="P49" i="1"/>
  <c r="P51" i="1"/>
  <c r="P44" i="1"/>
  <c r="P53" i="1"/>
  <c r="P6" i="1"/>
  <c r="P7" i="1"/>
  <c r="P56" i="1"/>
  <c r="P57" i="1"/>
  <c r="P14" i="1"/>
  <c r="P16" i="1"/>
  <c r="P37" i="1"/>
  <c r="P35" i="1"/>
  <c r="P23" i="1"/>
  <c r="P61" i="1"/>
  <c r="P36" i="1"/>
  <c r="P19" i="1"/>
  <c r="P42" i="1"/>
  <c r="P59" i="1"/>
  <c r="P20" i="1"/>
  <c r="P25" i="1"/>
  <c r="P13" i="1"/>
  <c r="P48" i="1"/>
  <c r="P70" i="1"/>
  <c r="P54" i="1"/>
  <c r="P22" i="1"/>
  <c r="P69" i="1"/>
  <c r="P45" i="1"/>
  <c r="P58" i="1"/>
  <c r="P10" i="1"/>
  <c r="P52" i="1"/>
  <c r="P60" i="1"/>
  <c r="P62" i="1"/>
  <c r="P41" i="1"/>
  <c r="P11" i="1"/>
  <c r="P4" i="1"/>
  <c r="P43" i="1"/>
  <c r="P33" i="1"/>
  <c r="P30" i="1"/>
  <c r="P32" i="1"/>
  <c r="P24" i="1"/>
  <c r="P38" i="1"/>
  <c r="P15" i="1"/>
  <c r="P17" i="1"/>
  <c r="P67" i="1"/>
  <c r="P66" i="1"/>
</calcChain>
</file>

<file path=xl/sharedStrings.xml><?xml version="1.0" encoding="utf-8"?>
<sst xmlns="http://schemas.openxmlformats.org/spreadsheetml/2006/main" count="408" uniqueCount="275">
  <si>
    <t>Name</t>
  </si>
  <si>
    <t>Source</t>
  </si>
  <si>
    <t>Moz DA</t>
  </si>
  <si>
    <t>SEMRUSH AUTHORITY SCORE (AS)</t>
  </si>
  <si>
    <t>AHREFS DR</t>
  </si>
  <si>
    <t>MAJESTIC TRUST FLOW</t>
  </si>
  <si>
    <t>MAJESTIC CITATION FLOW</t>
  </si>
  <si>
    <t>SEMrush Referring Domains</t>
  </si>
  <si>
    <t>Majestic Referring Domains</t>
  </si>
  <si>
    <t>AHREFS REFERRING WEBSITES</t>
  </si>
  <si>
    <t>SEMrush Backlinks</t>
  </si>
  <si>
    <t>Majestic Backlinks</t>
  </si>
  <si>
    <t>IPs</t>
  </si>
  <si>
    <t>AHREFS BACKLINKS</t>
  </si>
  <si>
    <t>SZ Score</t>
  </si>
  <si>
    <t>Variance</t>
  </si>
  <si>
    <t>Total Link to Follow Ratio (%)</t>
  </si>
  <si>
    <t>SEMRUSH (Backlinks/Referring domains)</t>
  </si>
  <si>
    <t>MAJESTIC (Backlinks/Referring domains)</t>
  </si>
  <si>
    <t>Age</t>
  </si>
  <si>
    <t>Internal Links</t>
  </si>
  <si>
    <t>External Links</t>
  </si>
  <si>
    <t>External Domains</t>
  </si>
  <si>
    <t>Google Indexed Pages</t>
  </si>
  <si>
    <t>SZ Drops</t>
  </si>
  <si>
    <t>SZ Parked</t>
  </si>
  <si>
    <t>Majestic Languages</t>
  </si>
  <si>
    <t>English %</t>
  </si>
  <si>
    <t>Second Language</t>
  </si>
  <si>
    <t>Second Language %</t>
  </si>
  <si>
    <t>Language Count</t>
  </si>
  <si>
    <t>AUD</t>
  </si>
  <si>
    <t>USD</t>
  </si>
  <si>
    <t>CATEGORIES</t>
  </si>
  <si>
    <t>underome.com</t>
  </si>
  <si>
    <t>visitthewestchilcotin.com</t>
  </si>
  <si>
    <t>destroyfreemasonry.com</t>
  </si>
  <si>
    <t>chthonic.org</t>
  </si>
  <si>
    <t>mainelymurders.com</t>
  </si>
  <si>
    <t>flintparticles.org</t>
  </si>
  <si>
    <t>inupiatgov.com</t>
  </si>
  <si>
    <t>hashtracking.com</t>
  </si>
  <si>
    <t>is-real.net</t>
  </si>
  <si>
    <t>michaelisaacson.com</t>
  </si>
  <si>
    <t>acquiropay.com</t>
  </si>
  <si>
    <t>brokenbowcountryclub.com</t>
  </si>
  <si>
    <t>mauioceanfrontinn.com</t>
  </si>
  <si>
    <t>tfhe.net</t>
  </si>
  <si>
    <t>systemo.biz</t>
  </si>
  <si>
    <t>rsvoting.org</t>
  </si>
  <si>
    <t>bordersreorganization.com</t>
  </si>
  <si>
    <t>specticast.com</t>
  </si>
  <si>
    <t>motechonline.com</t>
  </si>
  <si>
    <t>whalesworldwide.com</t>
  </si>
  <si>
    <t>eumodic.org</t>
  </si>
  <si>
    <t>sandiegocolleges.org</t>
  </si>
  <si>
    <t>win-that-job.com</t>
  </si>
  <si>
    <t>pleygo.com</t>
  </si>
  <si>
    <t>carytownburgers.com</t>
  </si>
  <si>
    <t>flowerbrackets.com</t>
  </si>
  <si>
    <t>ellensburgbeerandcider.com</t>
  </si>
  <si>
    <t>stlucieinlet.com</t>
  </si>
  <si>
    <t>mejoratuescuela.org</t>
  </si>
  <si>
    <t>efficientglazing.net</t>
  </si>
  <si>
    <t>license-key.biz</t>
  </si>
  <si>
    <t>teklow.com</t>
  </si>
  <si>
    <t>expoglobus.com</t>
  </si>
  <si>
    <t>kokotheshop.com</t>
  </si>
  <si>
    <t>maepdx.com</t>
  </si>
  <si>
    <t>crawforddistillery.com</t>
  </si>
  <si>
    <t>chrisprom.com</t>
  </si>
  <si>
    <t>shareurcodes.com</t>
  </si>
  <si>
    <t>semideluhi.com</t>
  </si>
  <si>
    <t>bacegroup.com</t>
  </si>
  <si>
    <t>artsandeats.org</t>
  </si>
  <si>
    <t>russianballetacademy.net</t>
  </si>
  <si>
    <t>mjsullivanauto.com</t>
  </si>
  <si>
    <t>roadmancampers.com</t>
  </si>
  <si>
    <t>premierhydroshop.com</t>
  </si>
  <si>
    <t>ourspaceourplace.org</t>
  </si>
  <si>
    <t>giriftarcafe.com</t>
  </si>
  <si>
    <t>theater-atlanta.com</t>
  </si>
  <si>
    <t>martechlive.com</t>
  </si>
  <si>
    <t>thetexassmoke.com</t>
  </si>
  <si>
    <t>camiciarossa.org</t>
  </si>
  <si>
    <t>raisingachievement.org</t>
  </si>
  <si>
    <t>notesonfranzschubert.com</t>
  </si>
  <si>
    <t>hunanfresno.com</t>
  </si>
  <si>
    <t>jerseytomatoco.com</t>
  </si>
  <si>
    <t>yazicifotokopi.com</t>
  </si>
  <si>
    <t>a7lamee.com</t>
  </si>
  <si>
    <t>escritacriativa.org</t>
  </si>
  <si>
    <t>viveraprendendo.com</t>
  </si>
  <si>
    <t>getuncubed.com</t>
  </si>
  <si>
    <t>zabatak.com</t>
  </si>
  <si>
    <t>top20plus.com</t>
  </si>
  <si>
    <t>baltimorewoodproject.org</t>
  </si>
  <si>
    <t>duncanism.com</t>
  </si>
  <si>
    <t>marfatxlights.com</t>
  </si>
  <si>
    <t>biosignalsplux.com</t>
  </si>
  <si>
    <t>gnartec.com</t>
  </si>
  <si>
    <t>scubadivingtube.com</t>
  </si>
  <si>
    <t>galvestondivorcelawyer.com</t>
  </si>
  <si>
    <t>anaise.com</t>
  </si>
  <si>
    <t>GoDaddy Auctions</t>
  </si>
  <si>
    <t>Recreation/Food: 15
Arts/Classical Studies: 14
Society: 12
Recreation/Outdoors: 11
Regional/Europe: 9
Society/Politics: 9
Recreation/Travel: 9
Arts/Digital: 7</t>
  </si>
  <si>
    <t>Regional/North America: 22
Recreation/Travel: 18
Recreation/Outdoors: 11</t>
  </si>
  <si>
    <t>Society/Religion and Spirituality: 20
Society/Issues: 12</t>
  </si>
  <si>
    <t>Arts/Music: 13
Recreation/Birding: 10
News/Alternative: 10
Business/Arts and Entertainment: 9
Science/Social Sciences: 6</t>
  </si>
  <si>
    <t>Business/Publishing and Printing: 12
Arts/Literature: 8
Arts/Performing Arts: 7
Business: 7
Shopping/Publications: 7
Arts/Photography: 7</t>
  </si>
  <si>
    <t>Computers/Programming/Languages: 10
Business/Financial Services: 9
Business/Business Services: 8
Business/Construction and Maintenance: 7
Adult/Image Galleries: 7
Regional/North America: 6
Arts/Graphic Design: 6
Recreation/Travel: 6
Arts/Music: 6
Recreation/Humor: 5</t>
  </si>
  <si>
    <t>Society/Issues: 16
Computers/Internet/News and Media: 10
Arts/Movies: 10
Society/Ethnicity: 9
Society: 8</t>
  </si>
  <si>
    <t>Society/Organizations: 10
Computers/Internet/On the Web: 9
Society/Government: 9
Computers/Internet/Web Design and Development: 9
Business: 8
Business/Business Services: 8
Computers/Internet/News and Media: 8
Business/Opportunities: 8
Computers/Data Formats: 8
Arts/Television: 8</t>
  </si>
  <si>
    <t>Computers/Software/Operating Systems: 9
Computers/Software/Desktop Customization: 7
Arts: 7
Computers/Programming/Languages: 5
Computers/Companies: 5
Computers/Internet/Web Design and Development: 5</t>
  </si>
  <si>
    <t>Arts/Music: 11
Society/Ethnicity: 6</t>
  </si>
  <si>
    <t>Shopping/Clothing: 15
Computers/Internet: 13
Business: 10
Computers/Internet/Web Design and Development: 9</t>
  </si>
  <si>
    <t>Regional/North America: 18
Recreation/Travel: 11
Sports/Golf: 11
Society/Government: 8</t>
  </si>
  <si>
    <t>Computers/Internet/Searching: 7
Arts/Television: 7
Recreation/Travel: 7
Society/Holidays: 7
Business/Construction and Maintenance: 7
Recreation/Pets: 7
Society/Issues: 6
Business/Automotive: 6
Regional/Europe: 6
Business/Business Services: 6</t>
  </si>
  <si>
    <t>Arts/Visual Arts: 11
Arts/Humanities: 9
Society: 6
Society/Subcultures: 6
Science/Environment: 6
Society/People: 6
Society/Religion and Spirituality: 6
Society/Issues: 6
Recreation/Travel: 6
Computers/Computer Science/Theoretical: 5</t>
  </si>
  <si>
    <t>Computers/Internet/On the Web: 7
Society/Philanthropy: 6
Society/Religion and Spirituality: 4</t>
  </si>
  <si>
    <t>Science/Math: 20</t>
  </si>
  <si>
    <t>Arts/Literature: 11
Arts/Writers Resources: 8
Reference/Education: 7
Recreation/Birding: 7
Shopping/Publications: 7
Arts/Online Writing: 7
News/Magazines and E-zines: 6
Society/People: 6
Regional/North America: 6</t>
  </si>
  <si>
    <t>Arts/Music: 11
Arts: 8
Arts/Visual Arts: 7
Arts/Movies: 6</t>
  </si>
  <si>
    <t>Business/Automotive: 16
Regional/Asia: 11
Recreation/Autos: 10</t>
  </si>
  <si>
    <t>Recreation/Travel: 19
Science/Environment: 12
Regional/Europe: 12</t>
  </si>
  <si>
    <t>Science/Biology: 10
Health/Conditions and Diseases: 6
Reference/Education: 6</t>
  </si>
  <si>
    <t>Reference/Education: 12</t>
  </si>
  <si>
    <t>Business: 11
Computers/Internet/Protocols: 9
Reference/Education: 9
News/Media Industry: 8
Society/History: 8
Computers/Artificial Life: 8
News: 7
Arts/Comics: 7
News/Extended Coverage: 7
Science/Biology: 6</t>
  </si>
  <si>
    <t>Regional/North America: 16
Recreation/Collecting: 10
Arts/Movies: 9
Computers/Internet/Web Design and Development: 8</t>
  </si>
  <si>
    <t>Recreation/Food: 7
Shopping/Home and Garden: 7
Recreation/Travel: 7
Business/Automotive: 7
Shopping/Food: 6
Science/Agriculture: 6
News/Newspapers: 6
Business: 5
Recreation/Outdoors: 5
Regional/North America: 5</t>
  </si>
  <si>
    <t>Computers/Algorithms: 17
Computers/Programming/Languages: 9
Business/Real Estate: 9</t>
  </si>
  <si>
    <t>Recreation/Food: 12</t>
  </si>
  <si>
    <t>Business: 25
Sports/Water Sports: 14
Computers/Internet/On the Web: 13
Recreation/Outdoors: 11</t>
  </si>
  <si>
    <t>Computers/Open Source: 8
Society/Organizations: 7
Computers/Internet/On the Web: 6
Computers/Software/Operating Systems: 6
Reference/Education: 6
Reference/Time: 6
Society/Issues: 5
Regional/North America: 5
News/Weather: 5
Reference/Libraries: 5</t>
  </si>
  <si>
    <t>Reference/Education: 5
Business/Construction and Maintenance: 4</t>
  </si>
  <si>
    <t>Society/People: 8
Business: 8
Arts/Photography: 8
Business/Construction and Maintenance: 7
Arts/Literature: 6
Business/Arts and Entertainment: 6
Computers/Software/Operating Systems: 5
Games/Video Games/Puzzle: 5
Business/Financial Services: 5
Regional/Europe: 5</t>
  </si>
  <si>
    <t>Computers/Hacking: 10</t>
  </si>
  <si>
    <t>Business/News and Media: 7
Science/Biology: 6
Business/Financial Services: 6
Science/Environment: 4
Reference/Museums: 4</t>
  </si>
  <si>
    <t>Recreation/Travel: 11
Arts: 9
Reference/Education: 7
Science/Social Sciences: 5</t>
  </si>
  <si>
    <t>Home/Gardening: 7
Society/Government: 7
Recreation/Food: 7
Society/Issues: 6
Society/Organizations: 5
Recreation/Travel: 5
Computers/Internet/Web Design and Development: 4
Arts/Literature: 4
Shopping/Food: 3
Society/People: 3</t>
  </si>
  <si>
    <t>Recreation/Travel: 10
Regional/North America: 8</t>
  </si>
  <si>
    <t>Reference/Libraries: 11
Society/Government: 9
Computers/Internet/History: 9
Reference/Archives: 7
Reference/Education: 7
Science/Social Sciences: 7
Society/Issues: 7
Society/History: 7
Arts/Literature: 7
Science/Publications: 7</t>
  </si>
  <si>
    <t>Computers/Programming/Databases: 8
Computers/Data Formats: 6
Computers/Programming/Languages: 6
Business/Real Estate: 5
Society/Politics: 5
Computers/Mobile Computing: 4</t>
  </si>
  <si>
    <t>Health: 6
Society: 6
Society/Philanthropy: 6
Health/Dentistry: 6
Health/Mental Health: 5
Regional/Europe: 5
Arts/Music: 5
Health/Medicine: 4
News/Media Industry: 4
Regional/South America: 4</t>
  </si>
  <si>
    <t>Games/Online: 6
Games/Video Games/Browser Based: 6
Games/Board Games: 6
Games/Video Games/Developers and Publishers: 5
Reference/Education: 4
Science/Social Sciences: 4
Computers/Internet/On the Web: 4</t>
  </si>
  <si>
    <t>Recreation/Travel: 14
Arts/Crafts: 13
Science/Agriculture: 12
Health: 11
Business/Real Estate: 11
Reference/Museums: 10
Regional/North America: 10
News/Weather: 9
Arts/Photography: 8
Reference/Education: 7</t>
  </si>
  <si>
    <t>Business/Energy: 10
Health: 7
Business/Transportation and Logistics: 7
Business: 7
Health/Dentistry: 6
Health/Mental Health: 6</t>
  </si>
  <si>
    <t>Business/Marketing and Advertising: 22</t>
  </si>
  <si>
    <t>Recreation/Outdoors: 16</t>
  </si>
  <si>
    <t>Computers/Software/Business: 8
News/Media Industry: 6
Home/Gardening: 4
Computers/Internet/Web Design and Development: 4
Business: 4</t>
  </si>
  <si>
    <t>Society/Philanthropy: 6
Arts/Visual Arts: 6
Reference/Museums: 5
Society/Government: 5
Reference/Education: 5
Society: 4
Arts/Television: 4
News/Newspapers: 4
Computers/Internet/Web Design and Development: 4</t>
  </si>
  <si>
    <t>Home/Cooking: 14
Sports/Soccer: 11
Computers/Internet/On the Web: 10
Shopping/Food: 10
News/Magazines and E-zines: 9
Sports/Resources: 8
News/Other: 8</t>
  </si>
  <si>
    <t>Arts/Art History: 6
Society/Government: 6
Recreation/Travel: 5
Business/Construction and Maintenance: 5
Arts: 5
Arts/Performing Arts: 3
Regional/Middle East: 2
Business/Real Estate: 2
Recreation/Pets: 2
Arts/Music: 2</t>
  </si>
  <si>
    <t>Business/Business Services: 5
Computers/Internet/Web Design and Development: 5
Sports/Archery: 2
Recreation/Pets: 2
Regional/Europe: 2
Computers/Software/Internet: 2</t>
  </si>
  <si>
    <t>Arts/Radio: 5
Sports/Wrestling: 2
Reference/Education: 2</t>
  </si>
  <si>
    <t>Business/Publishing and Printing: 7</t>
  </si>
  <si>
    <t>Society/Issues: 5
Reference/Education: 5
Society: 5
Society/People: 4
Science/Environment: 4
Reference/Libraries: 4
Reference/Dictionaries: 4
Science/Educational Resources: 4
Reference/Archives: 4
Science/Social Sciences: 4</t>
  </si>
  <si>
    <t>Arts/Music: 26</t>
  </si>
  <si>
    <t>Computers/Software/Graphics: 7
Recreation/Pets: 7
News/Newspapers: 5
Regional/North America: 4
Arts: 4
News/Media Industry: 4
Shopping/Pets: 4
Society/Issues: 4</t>
  </si>
  <si>
    <t>Arts/Television: 5
Recreation/Pets: 3
Arts/People: 3</t>
  </si>
  <si>
    <t>Business/Hospitality: 27</t>
  </si>
  <si>
    <t>Regional/North America: 7
Computers/Internet/E-mail: 7
Society/Politics: 6</t>
  </si>
  <si>
    <t>Business/Real Estate: 4
Recreation/Travel: 4
Business/Arts and Entertainment: 3
Business: 3
Business/Transportation and Logistics: 3
Recreation/Autos: 2
Home/Gardening: 2
Business/Consumer Goods and Services: 2</t>
  </si>
  <si>
    <t>Home/Cooking: 8
Arts/Crafts: 5
Shopping/Jewelry: 5</t>
  </si>
  <si>
    <t>Science/Math: 14
Computers/Computer Science/Academic Departments: 11
Reference/Education: 10
Computers/Computer Science/Database Theory: 9
Business/Transportation and Logistics: 7
Computers/Computer Science/Publications: 7
Society/People: 7</t>
  </si>
  <si>
    <t>Society/Activism: 5
Home/Family: 3
Society/Organizations: 3
Business/Energy: 3
Business/Real Estate: 3
Health/Senior Health: 3
Home/Gardening: 3
Arts: 2
Recreation/Travel: 2
Sports/Equestrian: 2</t>
  </si>
  <si>
    <t>Recreation/Outdoors: 12
Computers/Internet: 11
Society/Philosophy: 9
Recreation/Theme Parks: 8
Recreation/Travel: 6
Arts: 6</t>
  </si>
  <si>
    <t>Business/Consumer Goods and Services: 11
Science/Social Sciences: 8
Science/Agriculture: 6
Society/Issues: 6
Society/Future: 5</t>
  </si>
  <si>
    <t>Arts/Organizations: 11
Arts: 7</t>
  </si>
  <si>
    <t>Society/Paranormal: 12
Reference/Museums: 6
Recreation/Travel: 6
Recreation/Food: 5</t>
  </si>
  <si>
    <t>Computers/Internet: 13
Science/Social Sciences: 11
Computers/Programming: 9
Sports/Baseball: 8
Society/Issues: 7</t>
  </si>
  <si>
    <t>Regional/Europe: 12
Arts: 11</t>
  </si>
  <si>
    <t>Home/Family: 3
Society/Organizations: 3
Business/Energy: 3
Business/Real Estate: 3
Business/Business Services: 3
Health/Senior Health: 3
Home/Gardening: 3
Arts: 2
Recreation/Travel: 2
Sports/Equestrian: 2</t>
  </si>
  <si>
    <t>Society/Law: 8
Society/Government: 5
Reference/Education: 5
Business: 5
Computers/Emulators: 3
Computers/Software/Internet: 3</t>
  </si>
  <si>
    <t>Arts/Visual Arts: 12
Society/People: 11
Arts/Design: 11
Home/Family: 8
Arts/Crafts: 8
Home/Gardening: 6</t>
  </si>
  <si>
    <t>Italian: 52.7%
English: 36.4%
French: 5.9%
German: 3.2%
Dutch: 1.6%</t>
  </si>
  <si>
    <t>English: 71%
German: 27.2%
French: 0.8%
Spanish: 0.8%</t>
  </si>
  <si>
    <t>English: 82.7%
Bosnian: 7%
Portuguese: 3.4%
Latin: 3%
Italian: 1%
Spanish: 0.7%
Dutch: 0.5%
Finnish: 0.3%
German: 0.3%
Indonesian: 0.3%</t>
  </si>
  <si>
    <t>English: 54%
German: 19%
Chinese: 16.5%
Spanish: 1.8%
Russian: 1.4%
French: 1.3%
Japanese: 1%
Italian: 0.8%
Indonesian: 0.7%
Finnish: 0.5%</t>
  </si>
  <si>
    <t>English: 98.7%
Japanese: 1.2%</t>
  </si>
  <si>
    <t>English: 92.3%
Japanese: 3.6%
Chinese: 3%
Russian: 0.2%
Dutch: 0.1%
French: 0.1%
German: 0.1%</t>
  </si>
  <si>
    <t>English: 99.5%
German: 0.3%</t>
  </si>
  <si>
    <t>English: 78.2%
Spanish: 10.4%
Chinese: 3.3%
French: 1.1%
German: 1%
Italian: 0.8%
Portuguese: 0.7%
Arabic: 0.5%
Dutch: 0.5%
Japanese: 0.4%</t>
  </si>
  <si>
    <t>English: 56.1%
Chinese: 22.4%
German: 13%
Japanese: 1.8%
Portuguese: 1.8%
French: 1%
Russian: 1%
Spanish: 1%
Greek: 0.7%
Czech: 0.3%</t>
  </si>
  <si>
    <t>English: 94.6%
Russian: 3%
German: 0.5%
Japanese: 0.5%
French: 0.3%
Polish: 0.3%
Turkish: 0.3%
Czech: 0.1%
Spanish: 0.1%</t>
  </si>
  <si>
    <t>English: 56.2%
Russian: 43.7%</t>
  </si>
  <si>
    <t>English: 96.2%
German: 1.6%
Spanish: 1%
Chinese: 0.5%
French: 0.5%</t>
  </si>
  <si>
    <t>English: 96.1%
Dutch: 3.8%</t>
  </si>
  <si>
    <t>English: 70.3%
Spanish: 11.1%
Portuguese: 7.4%
Japanese: 5.5%
Vietnamese: 3.7%
Russian: 1.8%</t>
  </si>
  <si>
    <t>English: 66.8%
Russian: 31.2%
Chinese: 0.6%
Dutch: 0.6%
German: 0.6%</t>
  </si>
  <si>
    <t>English: 93.8%
French: 2.1%
German: 1.8%
Russian: 1.2%
Estonian: 0.6%
Chinese: 0.3%</t>
  </si>
  <si>
    <t>English: 99.5%
Italian: 0.2%
Russian: 0.2%</t>
  </si>
  <si>
    <t>English: 99.5%</t>
  </si>
  <si>
    <t>English: 89.2%
Japanese: 7.1%
Tagalog: 1.7%
: 1.7%</t>
  </si>
  <si>
    <t>English: 88.7%
German: 11%
Russian: 0.2%</t>
  </si>
  <si>
    <t>English: 88.5%
German: 9.9%
Japanese: 0.9%
French: 0.6%</t>
  </si>
  <si>
    <t>English: 100%</t>
  </si>
  <si>
    <t>English: 96.1%
German: 1.5%
Russian: 1.5%
French: 0.7%</t>
  </si>
  <si>
    <t>English: 97.8%
French: 0.9%
German: 0.5%
Korean: 0.1%
Norwegian: 0.1%
Russian: 0.1%</t>
  </si>
  <si>
    <t>English: 94.8%
Spanish: 0.7%
Russian: 0.7%
French: 0.5%
Vietnamese: 0.4%
Polish: 0.4%
Indonesian: 0.3%
German: 0.2%
Portuguese: 0.2%
Turkish: 0.2%</t>
  </si>
  <si>
    <t>English: 99.8%
Dutch: 0.1%</t>
  </si>
  <si>
    <t>Spanish: 92.4%
English: 6.8%
Bosnian: 0.2%
Portuguese: 0.2%
Dutch: 0.1%</t>
  </si>
  <si>
    <t>English: 62.8%
Chinese: 37.1%</t>
  </si>
  <si>
    <t>Russian: 52.8%
English: 46.3%
French: 0.1%
Italian: 0.1%
Portuguese: 0.1%
Slovak: 0.1%
Spanish: 0.1%</t>
  </si>
  <si>
    <t>English: 89.6%
French: 6.8%
Croatian: 3.4%</t>
  </si>
  <si>
    <t>Russian: 80.1%
English: 15.4%
German: 4%
Ukrainian: 0.3%</t>
  </si>
  <si>
    <t>English: 99.4%
Finnish: 0.5%</t>
  </si>
  <si>
    <t>English: 99.9%</t>
  </si>
  <si>
    <t>English: 77.8%
Persian: 14.8%
German: 3.1%
Thai: 2.2%
Portuguese: 0.9%
Russian: 0.7%
Polish: 0.1%</t>
  </si>
  <si>
    <t>English: 75.7%
Spanish: 23.2%
French: 0.8%</t>
  </si>
  <si>
    <t>English: 96.8%
German: 2.3%
Chinese: 0.5%
Portuguese: 0.2%</t>
  </si>
  <si>
    <t>Russian: 80.8%
English: 9.5%
Ukrainian: 8.2%
Chinese: 1.3%</t>
  </si>
  <si>
    <t>English: 93.9%
French: 4%
Russian: 2%</t>
  </si>
  <si>
    <t>English: 98.8%
Finnish: 1.1%</t>
  </si>
  <si>
    <t>English: 96.9%
Turkish: 2.4%
Indonesian: 0.3%
Persian: 0.3%</t>
  </si>
  <si>
    <t>English: 87.7%
Spanish: 7.3%
Hungarian: 1.1%
French: 0.5%
Turkish: 0.5%
Japanese: 0.3%
Chinese: 0.2%
Dutch: 0.2%
German: 0.2%
Italian: 0.2%</t>
  </si>
  <si>
    <t>English: 98.6%
Spanish: 1.3%</t>
  </si>
  <si>
    <t>English: 66.3%
French: 14.1%
Italian: 6.7%
Latin: 6.4%
Russian: 2.8%
German: 1.2%
Spanish: 1.2%
Slovak: 0.6%
Polish: 0.3%</t>
  </si>
  <si>
    <t>English: 95.1%
Dutch: 3.8%
German: 0.5%</t>
  </si>
  <si>
    <t>English: 99.7%
Slovak: 0.2%</t>
  </si>
  <si>
    <t>English: 89.5%
Turkish: 6%
Chinese: 2.6%
Russian: 0.8%
French: 0.4%
German: 0.4%</t>
  </si>
  <si>
    <t>English: 79.2%
Arabic: 20.1%
Chinese: 0.3%
Romanian: 0.3%</t>
  </si>
  <si>
    <t>English: 42.4%
Portuguese: 42.4%
Indonesian: 12.1%
French: 3%</t>
  </si>
  <si>
    <t>Portuguese: 98.9%
English: 0.7%
Spanish: 0.2%</t>
  </si>
  <si>
    <t>English: 95.3%
German: 2.1%
Indonesian: 1.6%
Russian: 0.8%</t>
  </si>
  <si>
    <t>English: 93.9%
Arabic: 4.3%
French: 0.8%
Polish: 0.8%</t>
  </si>
  <si>
    <t>English: 61%
Thai: 28%
French: 2.7%
German: 2.2%
Dutch: 1.8%
Russian: 1.3%
Czech: 0.9%
Polish: 0.9%
Spanish: 0.9%</t>
  </si>
  <si>
    <t>English: 98.6%
Portuguese: 1.3%</t>
  </si>
  <si>
    <t>English: 98.6%
Russian: 0.6%
Spanish: 0.6%</t>
  </si>
  <si>
    <t>English: 80.5%
Indonesian: 11.7%
Spanish: 2.1%
Thai: 1.6%
Chinese: 1.4%
Russian: 0.5%
Dutch: 0.3%
French: 0.3%
German: 0.3%
Japanese: 0.2%</t>
  </si>
  <si>
    <t>English: 98.4%
Portuguese: 1.5%</t>
  </si>
  <si>
    <t>English: 90.9%
Russian: 6.4%
Dutch: 0.9%
Finnish: 0.7%
Bulgarian: 0.2%
German: 0.2%
Hungarian: 0.2%
Korean: 0.2%</t>
  </si>
  <si>
    <t>English: 65%
French: 27.3%
Spanish: 2%
Finnish: 1.7%
Norwegian: 0.5%
Portuguese: 0.5%
Arabic: 0.3%
Dutch: 0.3%
Lithuanian: 0.3%
Swedish: 0.3%</t>
  </si>
  <si>
    <t>italian</t>
  </si>
  <si>
    <t>german</t>
  </si>
  <si>
    <t>bosnian</t>
  </si>
  <si>
    <t>japanese</t>
  </si>
  <si>
    <t>spanish</t>
  </si>
  <si>
    <t>chinese</t>
  </si>
  <si>
    <t>russian</t>
  </si>
  <si>
    <t>dutch</t>
  </si>
  <si>
    <t>french</t>
  </si>
  <si>
    <t>None</t>
  </si>
  <si>
    <t>finnish</t>
  </si>
  <si>
    <t>persian</t>
  </si>
  <si>
    <t>turkish</t>
  </si>
  <si>
    <t>slovak</t>
  </si>
  <si>
    <t>arabic</t>
  </si>
  <si>
    <t>portuguese</t>
  </si>
  <si>
    <t>thai</t>
  </si>
  <si>
    <t>indonesian</t>
  </si>
  <si>
    <t>Domain Info</t>
  </si>
  <si>
    <t>Authority Metrics</t>
  </si>
  <si>
    <t>Majestic Metrics</t>
  </si>
  <si>
    <t>Referring Domains</t>
  </si>
  <si>
    <t>Backlinks</t>
  </si>
  <si>
    <t>Spam Score</t>
  </si>
  <si>
    <t>Analysing Tools</t>
  </si>
  <si>
    <t>Ratios</t>
  </si>
  <si>
    <t>Additional Metrics</t>
  </si>
  <si>
    <t>Language Metrics</t>
  </si>
  <si>
    <t xml:space="preserve">Majestic Topics (numbers referring to topical authority from a scale of 1 to 100. </t>
  </si>
  <si>
    <t>Notes</t>
  </si>
  <si>
    <t xml:space="preserve">Face recognising app. Outbound domain has been classified as gambling, however there is no link which proves so. Sudden decline and drop in backlinks across it's lifetime, however due to being a business this can naturally occur. </t>
  </si>
  <si>
    <t xml:space="preserve"> SPAM? (1 = Yes, 0 = No, Maybe? = 2)</t>
  </si>
  <si>
    <t>Very sharp increase in the amount of backlinks connecting to the site.</t>
  </si>
  <si>
    <t>Too specific?</t>
  </si>
  <si>
    <t xml:space="preserve">Foreign website. Turkish website, with many backlinks coming from Singapre (prone to spam) servers. A link to an adult directoy, can't confirm there is a link to the dodgy industry. </t>
  </si>
  <si>
    <t>Links to adult themes. However, may be in line with the theme of the business being sustainable products (hippy)</t>
  </si>
  <si>
    <t xml:space="preserve">Sudden rise in the backlink profil, followed by the same sized decline.  </t>
  </si>
  <si>
    <t>50,000 backlinks accumulated, during its history.</t>
  </si>
  <si>
    <t xml:space="preserve">Strange backlink profile which has been built. Links come from the same IP addresses, however it seems through different accounts. </t>
  </si>
  <si>
    <t xml:space="preserve">Spike for the amount of backlinks at one point in history, this could have occurred naturally. Very nice contextual links to Great Water. Analyse the strength of the backlinks (ensure not purely focusing on the numbers, rather view all the sites which are linking to eachother.  </t>
  </si>
  <si>
    <t>Lack of sustinence on the website. Businesses does not appear when searching up. Assess the quality of the backlinks. Too confusing due to being a tech site.</t>
  </si>
  <si>
    <t xml:space="preserve">Timeless article, regarding the education in developing countries. Pages other then the homepage should be explored in greater depth, may touch on statistics and academia which prompts others to link. Link juice not running through the homepage.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</si>
</sst>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color rgb="FFFFFFFF"/>
      <name val="Calibri"/>
      <family val="2"/>
      <scheme val="minor"/>
    </font>
  </fonts>
  <fills count="13">
    <fill>
      <patternFill patternType="none"/>
    </fill>
    <fill>
      <patternFill patternType="gray125"/>
    </fill>
    <fill>
      <patternFill patternType="solid">
        <fgColor rgb="FF006400"/>
        <bgColor indexed="64"/>
      </patternFill>
    </fill>
    <fill>
      <patternFill patternType="solid">
        <fgColor rgb="FF8B0000"/>
        <bgColor indexed="64"/>
      </patternFill>
    </fill>
    <fill>
      <patternFill patternType="solid">
        <fgColor rgb="FF006666"/>
        <bgColor indexed="64"/>
      </patternFill>
    </fill>
    <fill>
      <patternFill patternType="solid">
        <fgColor rgb="FF00008B"/>
        <bgColor indexed="64"/>
      </patternFill>
    </fill>
    <fill>
      <patternFill patternType="solid">
        <fgColor rgb="FFFF8C00"/>
        <bgColor indexed="64"/>
      </patternFill>
    </fill>
    <fill>
      <patternFill patternType="solid">
        <fgColor rgb="FF654321"/>
        <bgColor indexed="64"/>
      </patternFill>
    </fill>
    <fill>
      <patternFill patternType="solid">
        <fgColor rgb="FF556B2F"/>
        <bgColor indexed="64"/>
      </patternFill>
    </fill>
    <fill>
      <patternFill patternType="solid">
        <fgColor rgb="FF800000"/>
        <bgColor indexed="64"/>
      </patternFill>
    </fill>
    <fill>
      <patternFill patternType="solid">
        <fgColor rgb="FF800080"/>
        <bgColor indexed="64"/>
      </patternFill>
    </fill>
    <fill>
      <patternFill patternType="solid">
        <fgColor rgb="FF4B0082"/>
        <bgColor indexed="6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18">
    <xf numFmtId="0" fontId="0" fillId="0" borderId="0" xfId="0"/>
    <xf numFmtId="10" fontId="0" fillId="0" borderId="1" xfId="0" applyNumberFormat="1" applyBorder="1"/>
    <xf numFmtId="164" fontId="0" fillId="0" borderId="1" xfId="0" applyNumberFormat="1" applyBorder="1"/>
    <xf numFmtId="0" fontId="1" fillId="7" borderId="1" xfId="0" applyFont="1" applyFill="1" applyBorder="1" applyAlignment="1">
      <alignment horizontal="center" vertical="center"/>
    </xf>
    <xf numFmtId="0" fontId="1" fillId="8" borderId="1" xfId="0" applyFont="1" applyFill="1" applyBorder="1" applyAlignment="1">
      <alignment horizontal="center" vertical="center"/>
    </xf>
    <xf numFmtId="10" fontId="0" fillId="0" borderId="2" xfId="0" applyNumberFormat="1" applyBorder="1"/>
    <xf numFmtId="164" fontId="0" fillId="0" borderId="2" xfId="0" applyNumberFormat="1" applyBorder="1"/>
    <xf numFmtId="0" fontId="0" fillId="12" borderId="0" xfId="0" applyFill="1"/>
    <xf numFmtId="10" fontId="0" fillId="12" borderId="1" xfId="0" applyNumberFormat="1" applyFill="1" applyBorder="1"/>
    <xf numFmtId="164" fontId="0" fillId="12" borderId="1" xfId="0" applyNumberFormat="1" applyFill="1" applyBorder="1"/>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6" borderId="1" xfId="0" applyFont="1" applyFill="1" applyBorder="1" applyAlignment="1">
      <alignment horizontal="center" vertical="center"/>
    </xf>
  </cellXfs>
  <cellStyles count="1">
    <cellStyle name="Normal" xfId="0" builtinId="0"/>
  </cellStyles>
  <dxfs count="1">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Table" displayName="DataTable" ref="A2:AL72" totalsRowShown="0">
  <autoFilter ref="A2:AL72" xr:uid="{00000000-0009-0000-0100-000001000000}">
    <filterColumn colId="3">
      <filters>
        <filter val="10"/>
        <filter val="11"/>
        <filter val="12"/>
        <filter val="13"/>
        <filter val="14"/>
        <filter val="19"/>
        <filter val="21"/>
        <filter val="23"/>
        <filter val="24"/>
        <filter val="25"/>
        <filter val="26"/>
      </filters>
    </filterColumn>
    <filterColumn colId="36">
      <filters blank="1">
        <filter val="2"/>
      </filters>
    </filterColumn>
    <filterColumn colId="37">
      <filters blank="1"/>
    </filterColumn>
  </autoFilter>
  <sortState xmlns:xlrd2="http://schemas.microsoft.com/office/spreadsheetml/2017/richdata2" ref="A3:AL72">
    <sortCondition ref="A2:A72"/>
  </sortState>
  <tableColumns count="38">
    <tableColumn id="1" xr3:uid="{00000000-0010-0000-0000-000001000000}" name="Name"/>
    <tableColumn id="2" xr3:uid="{00000000-0010-0000-0000-000002000000}" name="Source"/>
    <tableColumn id="3" xr3:uid="{00000000-0010-0000-0000-000003000000}" name="Moz DA"/>
    <tableColumn id="4" xr3:uid="{00000000-0010-0000-0000-000004000000}" name="SEMRUSH AUTHORITY SCORE (AS)"/>
    <tableColumn id="5" xr3:uid="{00000000-0010-0000-0000-000005000000}" name="AHREFS DR"/>
    <tableColumn id="6" xr3:uid="{00000000-0010-0000-0000-000006000000}" name="MAJESTIC TRUST FLOW"/>
    <tableColumn id="7" xr3:uid="{00000000-0010-0000-0000-000007000000}" name="MAJESTIC CITATION FLOW"/>
    <tableColumn id="8" xr3:uid="{00000000-0010-0000-0000-000008000000}" name="SEMrush Referring Domains"/>
    <tableColumn id="9" xr3:uid="{00000000-0010-0000-0000-000009000000}" name="Majestic Referring Domains"/>
    <tableColumn id="10" xr3:uid="{00000000-0010-0000-0000-00000A000000}" name="AHREFS REFERRING WEBSITES"/>
    <tableColumn id="11" xr3:uid="{00000000-0010-0000-0000-00000B000000}" name="SEMrush Backlinks"/>
    <tableColumn id="12" xr3:uid="{00000000-0010-0000-0000-00000C000000}" name="Majestic Backlinks"/>
    <tableColumn id="13" xr3:uid="{00000000-0010-0000-0000-00000D000000}" name="IPs"/>
    <tableColumn id="14" xr3:uid="{00000000-0010-0000-0000-00000E000000}" name="AHREFS BACKLINKS"/>
    <tableColumn id="15" xr3:uid="{00000000-0010-0000-0000-00000F000000}" name="SZ Score"/>
    <tableColumn id="16" xr3:uid="{00000000-0010-0000-0000-000010000000}" name="Variance"/>
    <tableColumn id="17" xr3:uid="{00000000-0010-0000-0000-000011000000}" name="Total Link to Follow Ratio (%)"/>
    <tableColumn id="18" xr3:uid="{00000000-0010-0000-0000-000012000000}" name="SEMRUSH (Backlinks/Referring domains)"/>
    <tableColumn id="19" xr3:uid="{00000000-0010-0000-0000-000013000000}" name="MAJESTIC (Backlinks/Referring domains)"/>
    <tableColumn id="20" xr3:uid="{00000000-0010-0000-0000-000014000000}" name="Age"/>
    <tableColumn id="21" xr3:uid="{00000000-0010-0000-0000-000015000000}" name="Internal Links"/>
    <tableColumn id="22" xr3:uid="{00000000-0010-0000-0000-000016000000}" name="External Links"/>
    <tableColumn id="23" xr3:uid="{00000000-0010-0000-0000-000017000000}" name="External Domains"/>
    <tableColumn id="24" xr3:uid="{00000000-0010-0000-0000-000018000000}" name="Google Indexed Pages"/>
    <tableColumn id="25" xr3:uid="{00000000-0010-0000-0000-000019000000}" name="SZ Drops"/>
    <tableColumn id="26" xr3:uid="{00000000-0010-0000-0000-00001A000000}" name="SZ Parked"/>
    <tableColumn id="27" xr3:uid="{00000000-0010-0000-0000-00001B000000}" name="Majestic Topics (numbers referring to topical authority from a scale of 1 to 100. "/>
    <tableColumn id="28" xr3:uid="{00000000-0010-0000-0000-00001C000000}" name="Majestic Languages"/>
    <tableColumn id="29" xr3:uid="{00000000-0010-0000-0000-00001D000000}" name="English %"/>
    <tableColumn id="30" xr3:uid="{00000000-0010-0000-0000-00001E000000}" name="Second Language"/>
    <tableColumn id="31" xr3:uid="{00000000-0010-0000-0000-00001F000000}" name="Second Language %"/>
    <tableColumn id="32" xr3:uid="{00000000-0010-0000-0000-000020000000}" name="Language Count"/>
    <tableColumn id="33" xr3:uid="{00000000-0010-0000-0000-000021000000}" name="AUD"/>
    <tableColumn id="34" xr3:uid="{00000000-0010-0000-0000-000022000000}" name="USD"/>
    <tableColumn id="35" xr3:uid="{00000000-0010-0000-0000-000023000000}" name="CATEGORIES"/>
    <tableColumn id="36" xr3:uid="{13902206-EF76-4782-89FA-4D82DEB6EB17}" name="Notes"/>
    <tableColumn id="37" xr3:uid="{0F2AC84F-658D-49DE-A6AA-B0C2645B5162}" name=" SPAM? (1 = Yes, 0 = No, Maybe? = 2)"/>
    <tableColumn id="38" xr3:uid="{F0E18A6D-579F-4A2C-8512-E3D2E7D03914}" name="Too specific?"/>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72"/>
  <sheetViews>
    <sheetView tabSelected="1" topLeftCell="A50" zoomScale="80" zoomScaleNormal="55" workbookViewId="0">
      <selection activeCell="D64" sqref="D64"/>
    </sheetView>
  </sheetViews>
  <sheetFormatPr defaultRowHeight="14.5" x14ac:dyDescent="0.35"/>
  <cols>
    <col min="1" max="1" width="29.7265625" customWidth="1"/>
    <col min="2" max="2" width="19.7265625" customWidth="1"/>
    <col min="3" max="3" width="9.7265625" customWidth="1"/>
    <col min="4" max="4" width="31.7265625" customWidth="1"/>
    <col min="5" max="5" width="12.7265625" customWidth="1"/>
    <col min="6" max="6" width="22.7265625" customWidth="1"/>
    <col min="7" max="7" width="25.7265625" customWidth="1"/>
    <col min="8" max="8" width="28.7265625" customWidth="1"/>
    <col min="9" max="9" width="29.7265625" customWidth="1"/>
    <col min="10" max="10" width="28.7265625" customWidth="1"/>
    <col min="11" max="11" width="20.7265625" customWidth="1"/>
    <col min="12" max="12" width="21.7265625" customWidth="1"/>
    <col min="13" max="13" width="7.7265625" customWidth="1"/>
    <col min="14" max="14" width="19.7265625" customWidth="1"/>
    <col min="15" max="16" width="11.7265625" customWidth="1"/>
    <col min="17" max="17" width="8.7265625" style="1" customWidth="1"/>
    <col min="18" max="18" width="40.7265625" customWidth="1"/>
    <col min="19" max="19" width="41.7265625" customWidth="1"/>
    <col min="20" max="20" width="6.7265625" customWidth="1"/>
    <col min="21" max="22" width="17.7265625" customWidth="1"/>
    <col min="23" max="23" width="19.7265625" customWidth="1"/>
    <col min="24" max="24" width="23.7265625" customWidth="1"/>
    <col min="25" max="25" width="11.7265625" customWidth="1"/>
    <col min="26" max="26" width="12.7265625" customWidth="1"/>
    <col min="27" max="27" width="282.7265625" customWidth="1"/>
    <col min="28" max="28" width="149.7265625" customWidth="1"/>
    <col min="29" max="29" width="8.7265625" style="2" customWidth="1"/>
    <col min="30" max="30" width="18.7265625" customWidth="1"/>
    <col min="31" max="31" width="8.7265625" style="2" customWidth="1"/>
    <col min="32" max="32" width="17.7265625" customWidth="1"/>
    <col min="33" max="34" width="6.7265625" customWidth="1"/>
    <col min="35" max="35" width="13.7265625" customWidth="1"/>
    <col min="36" max="36" width="195.08984375" bestFit="1" customWidth="1"/>
    <col min="37" max="37" width="25" customWidth="1"/>
    <col min="38" max="38" width="36.26953125" customWidth="1"/>
  </cols>
  <sheetData>
    <row r="1" spans="1:38" x14ac:dyDescent="0.35">
      <c r="A1" s="13" t="s">
        <v>251</v>
      </c>
      <c r="B1" s="13"/>
      <c r="C1" s="14" t="s">
        <v>252</v>
      </c>
      <c r="D1" s="14"/>
      <c r="E1" s="14"/>
      <c r="F1" s="15" t="s">
        <v>253</v>
      </c>
      <c r="G1" s="15"/>
      <c r="H1" s="16" t="s">
        <v>254</v>
      </c>
      <c r="I1" s="16"/>
      <c r="J1" s="16"/>
      <c r="K1" s="17" t="s">
        <v>255</v>
      </c>
      <c r="L1" s="17"/>
      <c r="M1" s="17"/>
      <c r="N1" s="17"/>
      <c r="O1" s="3" t="s">
        <v>256</v>
      </c>
      <c r="P1" s="4" t="s">
        <v>257</v>
      </c>
      <c r="Q1" s="10" t="s">
        <v>258</v>
      </c>
      <c r="R1" s="10"/>
      <c r="S1" s="10"/>
      <c r="T1" s="11" t="s">
        <v>259</v>
      </c>
      <c r="U1" s="11"/>
      <c r="V1" s="11"/>
      <c r="W1" s="11"/>
      <c r="X1" s="11"/>
      <c r="Y1" s="11"/>
      <c r="Z1" s="11"/>
      <c r="AA1" s="12" t="s">
        <v>260</v>
      </c>
      <c r="AB1" s="12"/>
      <c r="AC1" s="12"/>
      <c r="AD1" s="12"/>
      <c r="AE1" s="12"/>
    </row>
    <row r="2" spans="1:38" x14ac:dyDescent="0.35">
      <c r="A2" t="s">
        <v>0</v>
      </c>
      <c r="B2" t="s">
        <v>1</v>
      </c>
      <c r="C2" t="s">
        <v>2</v>
      </c>
      <c r="D2" t="s">
        <v>3</v>
      </c>
      <c r="E2" t="s">
        <v>4</v>
      </c>
      <c r="F2" t="s">
        <v>5</v>
      </c>
      <c r="G2" t="s">
        <v>6</v>
      </c>
      <c r="H2" t="s">
        <v>7</v>
      </c>
      <c r="I2" t="s">
        <v>8</v>
      </c>
      <c r="J2" t="s">
        <v>9</v>
      </c>
      <c r="K2" t="s">
        <v>10</v>
      </c>
      <c r="L2" t="s">
        <v>11</v>
      </c>
      <c r="M2" t="s">
        <v>12</v>
      </c>
      <c r="N2" t="s">
        <v>13</v>
      </c>
      <c r="O2" t="s">
        <v>14</v>
      </c>
      <c r="P2" t="s">
        <v>15</v>
      </c>
      <c r="Q2" s="1" t="s">
        <v>16</v>
      </c>
      <c r="R2" t="s">
        <v>17</v>
      </c>
      <c r="S2" t="s">
        <v>18</v>
      </c>
      <c r="T2" t="s">
        <v>19</v>
      </c>
      <c r="U2" t="s">
        <v>20</v>
      </c>
      <c r="V2" t="s">
        <v>21</v>
      </c>
      <c r="W2" t="s">
        <v>22</v>
      </c>
      <c r="X2" t="s">
        <v>23</v>
      </c>
      <c r="Y2" t="s">
        <v>24</v>
      </c>
      <c r="Z2" t="s">
        <v>25</v>
      </c>
      <c r="AA2" t="s">
        <v>261</v>
      </c>
      <c r="AB2" t="s">
        <v>26</v>
      </c>
      <c r="AC2" s="2" t="s">
        <v>27</v>
      </c>
      <c r="AD2" t="s">
        <v>28</v>
      </c>
      <c r="AE2" s="2" t="s">
        <v>29</v>
      </c>
      <c r="AF2" t="s">
        <v>30</v>
      </c>
      <c r="AG2" t="s">
        <v>31</v>
      </c>
      <c r="AH2" t="s">
        <v>32</v>
      </c>
      <c r="AI2" t="s">
        <v>33</v>
      </c>
      <c r="AJ2" t="s">
        <v>262</v>
      </c>
      <c r="AK2" t="s">
        <v>264</v>
      </c>
      <c r="AL2" t="s">
        <v>266</v>
      </c>
    </row>
    <row r="3" spans="1:38" x14ac:dyDescent="0.35">
      <c r="A3" t="s">
        <v>90</v>
      </c>
      <c r="B3" t="s">
        <v>104</v>
      </c>
      <c r="C3">
        <v>20</v>
      </c>
      <c r="D3">
        <v>6</v>
      </c>
      <c r="F3">
        <v>7</v>
      </c>
      <c r="G3">
        <v>12</v>
      </c>
      <c r="H3">
        <v>377</v>
      </c>
      <c r="I3">
        <v>51</v>
      </c>
      <c r="K3">
        <v>1913</v>
      </c>
      <c r="L3">
        <v>324</v>
      </c>
      <c r="M3">
        <v>407</v>
      </c>
      <c r="O3">
        <v>22</v>
      </c>
      <c r="P3" t="e">
        <f t="shared" ref="P3:P34" ca="1" si="0">_xludf.VAR.P(C3, D3, F3, G3)</f>
        <v>#NAME?</v>
      </c>
      <c r="Q3" s="1">
        <v>0.85990590695243074</v>
      </c>
      <c r="R3">
        <v>5.0742705570291777</v>
      </c>
      <c r="S3">
        <v>6.3529411764705879</v>
      </c>
      <c r="T3">
        <v>18</v>
      </c>
      <c r="U3">
        <v>5</v>
      </c>
      <c r="V3">
        <v>11</v>
      </c>
      <c r="W3">
        <v>6</v>
      </c>
      <c r="X3">
        <v>21600</v>
      </c>
      <c r="Y3">
        <v>2</v>
      </c>
      <c r="Z3">
        <v>1</v>
      </c>
      <c r="AA3" t="s">
        <v>161</v>
      </c>
      <c r="AB3" t="s">
        <v>221</v>
      </c>
      <c r="AC3" s="2">
        <v>0.79200000000000004</v>
      </c>
      <c r="AD3" t="s">
        <v>247</v>
      </c>
      <c r="AE3" s="2">
        <v>0.20100000000000001</v>
      </c>
      <c r="AF3">
        <v>4</v>
      </c>
    </row>
    <row r="4" spans="1:38" x14ac:dyDescent="0.35">
      <c r="A4" t="s">
        <v>44</v>
      </c>
      <c r="B4" t="s">
        <v>104</v>
      </c>
      <c r="C4">
        <v>15</v>
      </c>
      <c r="D4">
        <v>5</v>
      </c>
      <c r="F4">
        <v>15</v>
      </c>
      <c r="G4">
        <v>16</v>
      </c>
      <c r="H4">
        <v>120</v>
      </c>
      <c r="I4">
        <v>91</v>
      </c>
      <c r="K4">
        <v>193</v>
      </c>
      <c r="L4">
        <v>165</v>
      </c>
      <c r="M4">
        <v>110</v>
      </c>
      <c r="O4">
        <v>9</v>
      </c>
      <c r="P4" t="e">
        <f t="shared" ca="1" si="0"/>
        <v>#NAME?</v>
      </c>
      <c r="Q4" s="1">
        <v>0.84455958549222798</v>
      </c>
      <c r="R4">
        <v>1.6083333333333329</v>
      </c>
      <c r="S4">
        <v>1.813186813186813</v>
      </c>
      <c r="T4">
        <v>11</v>
      </c>
      <c r="U4">
        <v>0</v>
      </c>
      <c r="V4">
        <v>0</v>
      </c>
      <c r="W4">
        <v>0</v>
      </c>
      <c r="X4">
        <v>0</v>
      </c>
      <c r="Y4">
        <v>0</v>
      </c>
      <c r="Z4">
        <v>0</v>
      </c>
      <c r="AA4" t="s">
        <v>115</v>
      </c>
      <c r="AB4" t="s">
        <v>185</v>
      </c>
      <c r="AC4" s="2">
        <v>0.56200000000000006</v>
      </c>
      <c r="AD4" t="s">
        <v>239</v>
      </c>
      <c r="AE4" s="2">
        <v>0.43700000000000011</v>
      </c>
      <c r="AF4">
        <v>2</v>
      </c>
    </row>
    <row r="5" spans="1:38" x14ac:dyDescent="0.35">
      <c r="A5" t="s">
        <v>103</v>
      </c>
      <c r="B5" t="s">
        <v>104</v>
      </c>
      <c r="C5">
        <v>35</v>
      </c>
      <c r="D5">
        <v>7</v>
      </c>
      <c r="F5">
        <v>12</v>
      </c>
      <c r="G5">
        <v>21</v>
      </c>
      <c r="H5">
        <v>192</v>
      </c>
      <c r="I5">
        <v>37</v>
      </c>
      <c r="K5">
        <v>2080</v>
      </c>
      <c r="L5">
        <v>920</v>
      </c>
      <c r="M5">
        <v>99</v>
      </c>
      <c r="O5">
        <v>29</v>
      </c>
      <c r="P5" t="e">
        <f t="shared" ca="1" si="0"/>
        <v>#NAME?</v>
      </c>
      <c r="Q5" s="1">
        <v>0.96346153846153848</v>
      </c>
      <c r="R5">
        <v>10.83333333333333</v>
      </c>
      <c r="S5">
        <v>24.86486486486486</v>
      </c>
      <c r="T5">
        <v>22</v>
      </c>
      <c r="U5">
        <v>9</v>
      </c>
      <c r="V5">
        <v>39</v>
      </c>
      <c r="W5">
        <v>13</v>
      </c>
      <c r="X5">
        <v>22</v>
      </c>
      <c r="Y5">
        <v>2</v>
      </c>
      <c r="Z5">
        <v>0</v>
      </c>
      <c r="AA5" t="s">
        <v>174</v>
      </c>
      <c r="AB5" t="s">
        <v>232</v>
      </c>
      <c r="AC5" s="2">
        <v>0.65</v>
      </c>
      <c r="AD5" t="s">
        <v>241</v>
      </c>
      <c r="AE5" s="2">
        <v>0.27300000000000002</v>
      </c>
      <c r="AF5">
        <v>10</v>
      </c>
    </row>
    <row r="6" spans="1:38" x14ac:dyDescent="0.35">
      <c r="A6" t="s">
        <v>74</v>
      </c>
      <c r="B6" t="s">
        <v>104</v>
      </c>
      <c r="C6">
        <v>21</v>
      </c>
      <c r="D6">
        <v>5</v>
      </c>
      <c r="F6">
        <v>14</v>
      </c>
      <c r="G6">
        <v>15</v>
      </c>
      <c r="H6">
        <v>71</v>
      </c>
      <c r="I6">
        <v>33</v>
      </c>
      <c r="K6">
        <v>195</v>
      </c>
      <c r="L6">
        <v>82</v>
      </c>
      <c r="M6">
        <v>88</v>
      </c>
      <c r="O6">
        <v>16</v>
      </c>
      <c r="P6" t="e">
        <f t="shared" ca="1" si="0"/>
        <v>#NAME?</v>
      </c>
      <c r="Q6" s="1">
        <v>0.90769230769230769</v>
      </c>
      <c r="R6">
        <v>2.746478873239437</v>
      </c>
      <c r="S6">
        <v>2.4848484848484849</v>
      </c>
      <c r="T6">
        <v>13</v>
      </c>
      <c r="U6">
        <v>0</v>
      </c>
      <c r="V6">
        <v>0</v>
      </c>
      <c r="W6">
        <v>0</v>
      </c>
      <c r="X6">
        <v>1</v>
      </c>
      <c r="Y6">
        <v>1</v>
      </c>
      <c r="Z6">
        <v>0</v>
      </c>
      <c r="AA6" t="s">
        <v>145</v>
      </c>
      <c r="AB6" t="s">
        <v>196</v>
      </c>
      <c r="AC6" s="2">
        <v>1</v>
      </c>
      <c r="AD6" t="s">
        <v>242</v>
      </c>
      <c r="AE6" s="2">
        <v>0</v>
      </c>
      <c r="AF6">
        <v>1</v>
      </c>
    </row>
    <row r="7" spans="1:38" x14ac:dyDescent="0.35">
      <c r="A7" t="s">
        <v>73</v>
      </c>
      <c r="B7" t="s">
        <v>104</v>
      </c>
      <c r="C7">
        <v>27</v>
      </c>
      <c r="D7">
        <v>25</v>
      </c>
      <c r="E7">
        <v>26</v>
      </c>
      <c r="F7">
        <v>7</v>
      </c>
      <c r="G7">
        <v>17</v>
      </c>
      <c r="H7">
        <v>162</v>
      </c>
      <c r="I7">
        <v>90</v>
      </c>
      <c r="K7">
        <v>244</v>
      </c>
      <c r="L7">
        <v>158</v>
      </c>
      <c r="M7">
        <v>171</v>
      </c>
      <c r="O7">
        <v>15</v>
      </c>
      <c r="P7" t="e">
        <f t="shared" ca="1" si="0"/>
        <v>#NAME?</v>
      </c>
      <c r="Q7" s="1">
        <v>0.83265306122448979</v>
      </c>
      <c r="R7">
        <v>1.5061728395061731</v>
      </c>
      <c r="S7">
        <v>1.755555555555556</v>
      </c>
      <c r="T7">
        <v>16</v>
      </c>
      <c r="U7">
        <v>2</v>
      </c>
      <c r="V7">
        <v>6</v>
      </c>
      <c r="W7">
        <v>4</v>
      </c>
      <c r="X7">
        <v>2</v>
      </c>
      <c r="Y7">
        <v>3</v>
      </c>
      <c r="Z7">
        <v>0</v>
      </c>
      <c r="AA7" t="s">
        <v>144</v>
      </c>
      <c r="AB7" t="s">
        <v>212</v>
      </c>
      <c r="AC7" s="2">
        <v>0.93900000000000006</v>
      </c>
      <c r="AD7" t="s">
        <v>241</v>
      </c>
      <c r="AE7" s="2">
        <v>0.04</v>
      </c>
      <c r="AF7">
        <v>3</v>
      </c>
      <c r="AJ7" t="s">
        <v>263</v>
      </c>
      <c r="AK7">
        <v>2</v>
      </c>
    </row>
    <row r="8" spans="1:38" x14ac:dyDescent="0.35">
      <c r="A8" t="s">
        <v>96</v>
      </c>
      <c r="B8" t="s">
        <v>104</v>
      </c>
      <c r="C8">
        <v>27</v>
      </c>
      <c r="D8">
        <v>5</v>
      </c>
      <c r="F8">
        <v>11</v>
      </c>
      <c r="G8">
        <v>17</v>
      </c>
      <c r="H8">
        <v>138</v>
      </c>
      <c r="I8">
        <v>85</v>
      </c>
      <c r="K8">
        <v>389</v>
      </c>
      <c r="L8">
        <v>107</v>
      </c>
      <c r="M8">
        <v>164</v>
      </c>
      <c r="O8">
        <v>24</v>
      </c>
      <c r="P8" t="e">
        <f t="shared" ca="1" si="0"/>
        <v>#NAME?</v>
      </c>
      <c r="Q8" s="1">
        <v>0.90769230769230769</v>
      </c>
      <c r="R8">
        <v>2.818840579710145</v>
      </c>
      <c r="S8">
        <v>1.2588235294117649</v>
      </c>
      <c r="T8">
        <v>8</v>
      </c>
      <c r="U8">
        <v>0</v>
      </c>
      <c r="V8">
        <v>1</v>
      </c>
      <c r="W8">
        <v>1</v>
      </c>
      <c r="X8">
        <v>1</v>
      </c>
      <c r="Y8">
        <v>0</v>
      </c>
      <c r="Z8">
        <v>0</v>
      </c>
      <c r="AA8" t="s">
        <v>167</v>
      </c>
      <c r="AB8" t="s">
        <v>227</v>
      </c>
      <c r="AC8" s="2">
        <v>0.98599999999999999</v>
      </c>
      <c r="AD8" t="s">
        <v>248</v>
      </c>
      <c r="AE8" s="2">
        <v>1.2999999999999999E-2</v>
      </c>
      <c r="AF8">
        <v>2</v>
      </c>
    </row>
    <row r="9" spans="1:38" x14ac:dyDescent="0.35">
      <c r="A9" t="s">
        <v>99</v>
      </c>
      <c r="B9" t="s">
        <v>104</v>
      </c>
      <c r="C9">
        <v>39</v>
      </c>
      <c r="D9">
        <v>6</v>
      </c>
      <c r="F9">
        <v>13</v>
      </c>
      <c r="G9">
        <v>27</v>
      </c>
      <c r="H9">
        <v>407</v>
      </c>
      <c r="I9">
        <v>185</v>
      </c>
      <c r="K9">
        <v>2737</v>
      </c>
      <c r="L9">
        <v>832</v>
      </c>
      <c r="M9">
        <v>463</v>
      </c>
      <c r="O9">
        <v>26</v>
      </c>
      <c r="P9" t="e">
        <f t="shared" ca="1" si="0"/>
        <v>#NAME?</v>
      </c>
      <c r="Q9" s="1">
        <v>0.60351133869787854</v>
      </c>
      <c r="R9">
        <v>6.7248157248157252</v>
      </c>
      <c r="S9">
        <v>4.4972972972972984</v>
      </c>
      <c r="T9">
        <v>12</v>
      </c>
      <c r="U9">
        <v>0</v>
      </c>
      <c r="V9">
        <v>0</v>
      </c>
      <c r="W9">
        <v>0</v>
      </c>
      <c r="X9">
        <v>2</v>
      </c>
      <c r="Y9">
        <v>0</v>
      </c>
      <c r="Z9">
        <v>0</v>
      </c>
      <c r="AA9" t="s">
        <v>170</v>
      </c>
      <c r="AB9" t="s">
        <v>229</v>
      </c>
      <c r="AC9" s="2">
        <v>0.80500000000000005</v>
      </c>
      <c r="AD9" t="s">
        <v>250</v>
      </c>
      <c r="AE9" s="2">
        <v>0.11700000000000001</v>
      </c>
      <c r="AF9">
        <v>10</v>
      </c>
    </row>
    <row r="10" spans="1:38" x14ac:dyDescent="0.35">
      <c r="A10" t="s">
        <v>50</v>
      </c>
      <c r="B10" t="s">
        <v>104</v>
      </c>
      <c r="C10">
        <v>42</v>
      </c>
      <c r="D10">
        <v>5</v>
      </c>
      <c r="F10">
        <v>11</v>
      </c>
      <c r="G10">
        <v>18</v>
      </c>
      <c r="H10">
        <v>243</v>
      </c>
      <c r="I10">
        <v>123</v>
      </c>
      <c r="K10">
        <v>878</v>
      </c>
      <c r="L10">
        <v>458</v>
      </c>
      <c r="M10">
        <v>284</v>
      </c>
      <c r="O10">
        <v>11</v>
      </c>
      <c r="P10" t="e">
        <f t="shared" ca="1" si="0"/>
        <v>#NAME?</v>
      </c>
      <c r="Q10" s="1">
        <v>0.78424657534246578</v>
      </c>
      <c r="R10">
        <v>3.613168724279836</v>
      </c>
      <c r="S10">
        <v>3.7235772357723582</v>
      </c>
      <c r="T10">
        <v>14</v>
      </c>
      <c r="U10">
        <v>0</v>
      </c>
      <c r="V10">
        <v>0</v>
      </c>
      <c r="W10">
        <v>0</v>
      </c>
      <c r="X10">
        <v>1</v>
      </c>
      <c r="Y10">
        <v>0</v>
      </c>
      <c r="Z10">
        <v>0</v>
      </c>
      <c r="AA10" t="s">
        <v>121</v>
      </c>
      <c r="AB10" t="s">
        <v>191</v>
      </c>
      <c r="AC10" s="2">
        <v>0.995</v>
      </c>
      <c r="AD10" t="s">
        <v>233</v>
      </c>
      <c r="AE10" s="2">
        <v>2E-3</v>
      </c>
      <c r="AF10">
        <v>3</v>
      </c>
    </row>
    <row r="11" spans="1:38" x14ac:dyDescent="0.35">
      <c r="A11" t="s">
        <v>45</v>
      </c>
      <c r="B11" t="s">
        <v>104</v>
      </c>
      <c r="C11">
        <v>22</v>
      </c>
      <c r="D11">
        <v>12</v>
      </c>
      <c r="F11">
        <v>18</v>
      </c>
      <c r="G11">
        <v>17</v>
      </c>
      <c r="H11">
        <v>84</v>
      </c>
      <c r="I11">
        <v>73</v>
      </c>
      <c r="K11">
        <v>232</v>
      </c>
      <c r="L11">
        <v>188</v>
      </c>
      <c r="M11">
        <v>102</v>
      </c>
      <c r="O11">
        <v>9</v>
      </c>
      <c r="P11" t="e">
        <f t="shared" ca="1" si="0"/>
        <v>#NAME?</v>
      </c>
      <c r="Q11" s="1">
        <v>0.69827586206896552</v>
      </c>
      <c r="R11">
        <v>2.7619047619047619</v>
      </c>
      <c r="S11">
        <v>2.5753424657534252</v>
      </c>
      <c r="T11">
        <v>18</v>
      </c>
      <c r="U11">
        <v>0</v>
      </c>
      <c r="V11">
        <v>0</v>
      </c>
      <c r="W11">
        <v>0</v>
      </c>
      <c r="X11">
        <v>1</v>
      </c>
      <c r="Y11">
        <v>0</v>
      </c>
      <c r="Z11">
        <v>0</v>
      </c>
      <c r="AA11" t="s">
        <v>116</v>
      </c>
      <c r="AB11" t="s">
        <v>186</v>
      </c>
      <c r="AC11" s="2">
        <v>0.96200000000000008</v>
      </c>
      <c r="AD11" t="s">
        <v>234</v>
      </c>
      <c r="AE11" s="2">
        <v>1.6E-2</v>
      </c>
      <c r="AF11">
        <v>5</v>
      </c>
      <c r="AJ11" t="s">
        <v>265</v>
      </c>
      <c r="AL11">
        <v>1</v>
      </c>
    </row>
    <row r="12" spans="1:38" x14ac:dyDescent="0.35">
      <c r="A12" t="s">
        <v>84</v>
      </c>
      <c r="B12" t="s">
        <v>104</v>
      </c>
      <c r="C12">
        <v>15</v>
      </c>
      <c r="D12">
        <v>8</v>
      </c>
      <c r="F12">
        <v>7</v>
      </c>
      <c r="G12">
        <v>13</v>
      </c>
      <c r="H12">
        <v>273</v>
      </c>
      <c r="I12">
        <v>38</v>
      </c>
      <c r="K12">
        <v>1202</v>
      </c>
      <c r="L12">
        <v>322</v>
      </c>
      <c r="M12">
        <v>291</v>
      </c>
      <c r="O12">
        <v>19</v>
      </c>
      <c r="P12" t="e">
        <f t="shared" ca="1" si="0"/>
        <v>#NAME?</v>
      </c>
      <c r="Q12" s="1">
        <v>0.72152950955943473</v>
      </c>
      <c r="R12">
        <v>4.4029304029304033</v>
      </c>
      <c r="S12">
        <v>8.473684210526315</v>
      </c>
      <c r="T12">
        <v>7</v>
      </c>
      <c r="U12">
        <v>0</v>
      </c>
      <c r="V12">
        <v>0</v>
      </c>
      <c r="W12">
        <v>0</v>
      </c>
      <c r="X12">
        <v>639</v>
      </c>
      <c r="Y12">
        <v>0</v>
      </c>
      <c r="Z12">
        <v>0</v>
      </c>
      <c r="AA12" t="s">
        <v>155</v>
      </c>
      <c r="AB12" t="s">
        <v>217</v>
      </c>
      <c r="AC12" s="2">
        <v>0.66299999999999992</v>
      </c>
      <c r="AD12" t="s">
        <v>241</v>
      </c>
      <c r="AE12" s="2">
        <v>0.14099999999999999</v>
      </c>
      <c r="AF12">
        <v>9</v>
      </c>
    </row>
    <row r="13" spans="1:38" x14ac:dyDescent="0.35">
      <c r="A13" t="s">
        <v>58</v>
      </c>
      <c r="B13" t="s">
        <v>104</v>
      </c>
      <c r="C13">
        <v>28</v>
      </c>
      <c r="D13">
        <v>26</v>
      </c>
      <c r="F13">
        <v>8</v>
      </c>
      <c r="G13">
        <v>20</v>
      </c>
      <c r="H13">
        <v>226</v>
      </c>
      <c r="I13">
        <v>114</v>
      </c>
      <c r="K13">
        <v>20313</v>
      </c>
      <c r="L13">
        <v>1090</v>
      </c>
      <c r="M13">
        <v>252</v>
      </c>
      <c r="O13">
        <v>13</v>
      </c>
      <c r="P13" t="e">
        <f t="shared" ca="1" si="0"/>
        <v>#NAME?</v>
      </c>
      <c r="Q13" s="1">
        <v>0.98926795648107124</v>
      </c>
      <c r="R13">
        <v>89.880530973451329</v>
      </c>
      <c r="S13">
        <v>9.5614035087719298</v>
      </c>
      <c r="T13">
        <v>12</v>
      </c>
      <c r="U13">
        <v>17</v>
      </c>
      <c r="V13">
        <v>3</v>
      </c>
      <c r="W13">
        <v>2</v>
      </c>
      <c r="X13">
        <v>32</v>
      </c>
      <c r="Y13">
        <v>5</v>
      </c>
      <c r="Z13">
        <v>0</v>
      </c>
      <c r="AA13" t="s">
        <v>129</v>
      </c>
      <c r="AB13" t="s">
        <v>196</v>
      </c>
      <c r="AC13" s="2">
        <v>1</v>
      </c>
      <c r="AD13" t="s">
        <v>242</v>
      </c>
      <c r="AE13" s="2">
        <v>0</v>
      </c>
      <c r="AF13">
        <v>1</v>
      </c>
      <c r="AL13">
        <v>1</v>
      </c>
    </row>
    <row r="14" spans="1:38" x14ac:dyDescent="0.35">
      <c r="A14" t="s">
        <v>70</v>
      </c>
      <c r="B14" t="s">
        <v>104</v>
      </c>
      <c r="C14">
        <v>26</v>
      </c>
      <c r="D14">
        <v>5</v>
      </c>
      <c r="F14">
        <v>11</v>
      </c>
      <c r="G14">
        <v>16</v>
      </c>
      <c r="H14">
        <v>174</v>
      </c>
      <c r="I14">
        <v>80</v>
      </c>
      <c r="K14">
        <v>1497</v>
      </c>
      <c r="L14">
        <v>9244</v>
      </c>
      <c r="M14">
        <v>166</v>
      </c>
      <c r="O14">
        <v>15</v>
      </c>
      <c r="P14" t="e">
        <f t="shared" ca="1" si="0"/>
        <v>#NAME?</v>
      </c>
      <c r="Q14" s="1">
        <v>0.94789579158316628</v>
      </c>
      <c r="R14">
        <v>8.6034482758620694</v>
      </c>
      <c r="S14">
        <v>115.55</v>
      </c>
      <c r="T14">
        <v>12</v>
      </c>
      <c r="U14">
        <v>0</v>
      </c>
      <c r="V14">
        <v>0</v>
      </c>
      <c r="W14">
        <v>0</v>
      </c>
      <c r="X14">
        <v>1</v>
      </c>
      <c r="Y14">
        <v>0</v>
      </c>
      <c r="Z14">
        <v>0</v>
      </c>
      <c r="AA14" t="s">
        <v>141</v>
      </c>
      <c r="AB14" t="s">
        <v>209</v>
      </c>
      <c r="AC14" s="2">
        <v>0.75700000000000001</v>
      </c>
      <c r="AD14" t="s">
        <v>237</v>
      </c>
      <c r="AE14" s="2">
        <v>0.23200000000000001</v>
      </c>
      <c r="AF14">
        <v>3</v>
      </c>
    </row>
    <row r="15" spans="1:38" x14ac:dyDescent="0.35">
      <c r="A15" t="s">
        <v>37</v>
      </c>
      <c r="B15" t="s">
        <v>104</v>
      </c>
      <c r="C15">
        <v>39</v>
      </c>
      <c r="D15">
        <v>5</v>
      </c>
      <c r="F15">
        <v>13</v>
      </c>
      <c r="G15">
        <v>23</v>
      </c>
      <c r="H15">
        <v>641</v>
      </c>
      <c r="I15">
        <v>350</v>
      </c>
      <c r="K15">
        <v>4746</v>
      </c>
      <c r="L15">
        <v>2070</v>
      </c>
      <c r="M15">
        <v>696</v>
      </c>
      <c r="O15">
        <v>6</v>
      </c>
      <c r="P15" t="e">
        <f t="shared" ca="1" si="0"/>
        <v>#NAME?</v>
      </c>
      <c r="Q15" s="1">
        <v>0.90261382799325462</v>
      </c>
      <c r="R15">
        <v>7.4040561622464898</v>
      </c>
      <c r="S15">
        <v>5.9142857142857146</v>
      </c>
      <c r="T15">
        <v>24</v>
      </c>
      <c r="U15">
        <v>1</v>
      </c>
      <c r="V15">
        <v>0</v>
      </c>
      <c r="W15">
        <v>0</v>
      </c>
      <c r="X15">
        <v>0</v>
      </c>
      <c r="Y15">
        <v>0</v>
      </c>
      <c r="Z15">
        <v>0</v>
      </c>
      <c r="AA15" t="s">
        <v>108</v>
      </c>
      <c r="AB15" t="s">
        <v>178</v>
      </c>
      <c r="AC15" s="2">
        <v>0.54</v>
      </c>
      <c r="AD15" t="s">
        <v>234</v>
      </c>
      <c r="AE15" s="2">
        <v>0.19</v>
      </c>
      <c r="AF15">
        <v>10</v>
      </c>
    </row>
    <row r="16" spans="1:38" x14ac:dyDescent="0.35">
      <c r="A16" t="s">
        <v>69</v>
      </c>
      <c r="B16" t="s">
        <v>104</v>
      </c>
      <c r="C16">
        <v>9</v>
      </c>
      <c r="D16">
        <v>8</v>
      </c>
      <c r="F16">
        <v>10</v>
      </c>
      <c r="G16">
        <v>14</v>
      </c>
      <c r="H16">
        <v>105</v>
      </c>
      <c r="I16">
        <v>40</v>
      </c>
      <c r="K16">
        <v>1460</v>
      </c>
      <c r="L16">
        <v>586</v>
      </c>
      <c r="M16">
        <v>114</v>
      </c>
      <c r="O16">
        <v>15</v>
      </c>
      <c r="P16" t="e">
        <f t="shared" ca="1" si="0"/>
        <v>#NAME?</v>
      </c>
      <c r="Q16" s="1">
        <v>9.1836734693877556E-2</v>
      </c>
      <c r="R16">
        <v>13.90476190476191</v>
      </c>
      <c r="S16">
        <v>14.65</v>
      </c>
      <c r="T16">
        <v>9</v>
      </c>
      <c r="U16">
        <v>0</v>
      </c>
      <c r="V16">
        <v>0</v>
      </c>
      <c r="W16">
        <v>0</v>
      </c>
      <c r="X16">
        <v>1</v>
      </c>
      <c r="Y16">
        <v>0</v>
      </c>
      <c r="Z16">
        <v>0</v>
      </c>
      <c r="AA16" t="s">
        <v>140</v>
      </c>
      <c r="AB16" t="s">
        <v>208</v>
      </c>
      <c r="AC16" s="2">
        <v>0.77800000000000002</v>
      </c>
      <c r="AD16" t="s">
        <v>244</v>
      </c>
      <c r="AE16" s="2">
        <v>0.14799999999999999</v>
      </c>
      <c r="AF16">
        <v>7</v>
      </c>
    </row>
    <row r="17" spans="1:38" x14ac:dyDescent="0.35">
      <c r="A17" t="s">
        <v>36</v>
      </c>
      <c r="B17" t="s">
        <v>104</v>
      </c>
      <c r="C17">
        <v>20</v>
      </c>
      <c r="D17">
        <v>5</v>
      </c>
      <c r="F17">
        <v>20</v>
      </c>
      <c r="G17">
        <v>25</v>
      </c>
      <c r="H17">
        <v>126</v>
      </c>
      <c r="I17">
        <v>52</v>
      </c>
      <c r="K17">
        <v>846</v>
      </c>
      <c r="L17">
        <v>553</v>
      </c>
      <c r="M17">
        <v>125</v>
      </c>
      <c r="O17">
        <v>5</v>
      </c>
      <c r="P17" t="e">
        <f t="shared" ca="1" si="0"/>
        <v>#NAME?</v>
      </c>
      <c r="Q17" s="1">
        <v>0.76595744680851063</v>
      </c>
      <c r="R17">
        <v>6.7142857142857144</v>
      </c>
      <c r="S17">
        <v>10.63461538461539</v>
      </c>
      <c r="T17">
        <v>20</v>
      </c>
      <c r="U17">
        <v>12</v>
      </c>
      <c r="V17">
        <v>11</v>
      </c>
      <c r="W17">
        <v>4</v>
      </c>
      <c r="X17">
        <v>24</v>
      </c>
      <c r="Y17">
        <v>0</v>
      </c>
      <c r="Z17">
        <v>0</v>
      </c>
      <c r="AA17" t="s">
        <v>107</v>
      </c>
      <c r="AB17" t="s">
        <v>177</v>
      </c>
      <c r="AC17" s="2">
        <v>0.82700000000000007</v>
      </c>
      <c r="AD17" t="s">
        <v>235</v>
      </c>
      <c r="AE17" s="2">
        <v>7.0000000000000007E-2</v>
      </c>
      <c r="AF17">
        <v>10</v>
      </c>
    </row>
    <row r="18" spans="1:38" x14ac:dyDescent="0.35">
      <c r="A18" t="s">
        <v>97</v>
      </c>
      <c r="B18" t="s">
        <v>104</v>
      </c>
      <c r="C18">
        <v>10</v>
      </c>
      <c r="D18">
        <v>12</v>
      </c>
      <c r="F18">
        <v>11</v>
      </c>
      <c r="G18">
        <v>15</v>
      </c>
      <c r="H18">
        <v>70</v>
      </c>
      <c r="I18">
        <v>49</v>
      </c>
      <c r="K18">
        <v>98</v>
      </c>
      <c r="L18">
        <v>50</v>
      </c>
      <c r="M18">
        <v>69</v>
      </c>
      <c r="O18">
        <v>25</v>
      </c>
      <c r="P18" t="e">
        <f t="shared" ca="1" si="0"/>
        <v>#NAME?</v>
      </c>
      <c r="Q18" s="1">
        <v>0.86734693877551017</v>
      </c>
      <c r="R18">
        <v>1.4</v>
      </c>
      <c r="S18">
        <v>1.0204081632653059</v>
      </c>
      <c r="T18">
        <v>11</v>
      </c>
      <c r="U18">
        <v>2</v>
      </c>
      <c r="V18">
        <v>19</v>
      </c>
      <c r="W18">
        <v>2</v>
      </c>
      <c r="X18">
        <v>9</v>
      </c>
      <c r="Y18">
        <v>2</v>
      </c>
      <c r="Z18">
        <v>0</v>
      </c>
      <c r="AA18" t="s">
        <v>168</v>
      </c>
      <c r="AB18" t="s">
        <v>196</v>
      </c>
      <c r="AC18" s="2">
        <v>1</v>
      </c>
      <c r="AD18" t="s">
        <v>242</v>
      </c>
      <c r="AE18" s="2">
        <v>0</v>
      </c>
      <c r="AF18">
        <v>1</v>
      </c>
      <c r="AL18">
        <v>1</v>
      </c>
    </row>
    <row r="19" spans="1:38" x14ac:dyDescent="0.35">
      <c r="A19" t="s">
        <v>63</v>
      </c>
      <c r="B19" t="s">
        <v>104</v>
      </c>
      <c r="C19">
        <v>17</v>
      </c>
      <c r="D19">
        <v>5</v>
      </c>
      <c r="F19">
        <v>5</v>
      </c>
      <c r="G19">
        <v>15</v>
      </c>
      <c r="H19">
        <v>66</v>
      </c>
      <c r="I19">
        <v>26</v>
      </c>
      <c r="K19">
        <v>470</v>
      </c>
      <c r="L19">
        <v>867</v>
      </c>
      <c r="M19">
        <v>64</v>
      </c>
      <c r="O19">
        <v>13</v>
      </c>
      <c r="P19" t="e">
        <f t="shared" ca="1" si="0"/>
        <v>#NAME?</v>
      </c>
      <c r="Q19" s="1">
        <v>0.95319148936170217</v>
      </c>
      <c r="R19">
        <v>7.1212121212121211</v>
      </c>
      <c r="S19">
        <v>33.346153846153847</v>
      </c>
      <c r="T19">
        <v>13</v>
      </c>
      <c r="U19">
        <v>8</v>
      </c>
      <c r="V19">
        <v>2</v>
      </c>
      <c r="W19">
        <v>2</v>
      </c>
      <c r="X19">
        <v>24</v>
      </c>
      <c r="Y19">
        <v>0</v>
      </c>
      <c r="Z19">
        <v>0</v>
      </c>
      <c r="AA19" t="s">
        <v>134</v>
      </c>
      <c r="AB19" t="s">
        <v>202</v>
      </c>
      <c r="AC19" s="2">
        <v>0.628</v>
      </c>
      <c r="AD19" t="s">
        <v>238</v>
      </c>
      <c r="AE19" s="2">
        <v>0.371</v>
      </c>
      <c r="AF19">
        <v>2</v>
      </c>
    </row>
    <row r="20" spans="1:38" x14ac:dyDescent="0.35">
      <c r="A20" t="s">
        <v>60</v>
      </c>
      <c r="B20" t="s">
        <v>104</v>
      </c>
      <c r="C20">
        <v>12</v>
      </c>
      <c r="D20">
        <v>8</v>
      </c>
      <c r="F20">
        <v>12</v>
      </c>
      <c r="G20">
        <v>13</v>
      </c>
      <c r="H20">
        <v>74</v>
      </c>
      <c r="I20">
        <v>30</v>
      </c>
      <c r="K20">
        <v>205</v>
      </c>
      <c r="L20">
        <v>74</v>
      </c>
      <c r="M20">
        <v>70</v>
      </c>
      <c r="O20">
        <v>13</v>
      </c>
      <c r="P20" t="e">
        <f t="shared" ca="1" si="0"/>
        <v>#NAME?</v>
      </c>
      <c r="Q20" s="1">
        <v>0.57352941176470584</v>
      </c>
      <c r="R20">
        <v>2.7702702702702702</v>
      </c>
      <c r="S20">
        <v>2.4666666666666668</v>
      </c>
      <c r="T20">
        <v>7</v>
      </c>
      <c r="U20">
        <v>0</v>
      </c>
      <c r="V20">
        <v>0</v>
      </c>
      <c r="W20">
        <v>0</v>
      </c>
      <c r="X20">
        <v>1</v>
      </c>
      <c r="Y20">
        <v>0</v>
      </c>
      <c r="Z20">
        <v>0</v>
      </c>
      <c r="AA20" t="s">
        <v>131</v>
      </c>
      <c r="AB20" t="s">
        <v>196</v>
      </c>
      <c r="AC20" s="2">
        <v>1</v>
      </c>
      <c r="AD20" t="s">
        <v>242</v>
      </c>
      <c r="AE20" s="2">
        <v>0</v>
      </c>
      <c r="AF20">
        <v>1</v>
      </c>
    </row>
    <row r="21" spans="1:38" x14ac:dyDescent="0.35">
      <c r="A21" t="s">
        <v>91</v>
      </c>
      <c r="B21" t="s">
        <v>104</v>
      </c>
      <c r="C21">
        <v>13</v>
      </c>
      <c r="D21">
        <v>8</v>
      </c>
      <c r="F21">
        <v>5</v>
      </c>
      <c r="G21">
        <v>14</v>
      </c>
      <c r="H21">
        <v>86</v>
      </c>
      <c r="I21">
        <v>35</v>
      </c>
      <c r="K21">
        <v>263</v>
      </c>
      <c r="L21">
        <v>61</v>
      </c>
      <c r="M21">
        <v>89</v>
      </c>
      <c r="O21">
        <v>23</v>
      </c>
      <c r="P21" t="e">
        <f t="shared" ca="1" si="0"/>
        <v>#NAME?</v>
      </c>
      <c r="Q21" s="1">
        <v>0.85931558935361219</v>
      </c>
      <c r="R21">
        <v>3.058139534883721</v>
      </c>
      <c r="S21">
        <v>1.7428571428571431</v>
      </c>
      <c r="T21">
        <v>17</v>
      </c>
      <c r="U21">
        <v>0</v>
      </c>
      <c r="V21">
        <v>0</v>
      </c>
      <c r="W21">
        <v>0</v>
      </c>
      <c r="X21">
        <v>6910</v>
      </c>
      <c r="Y21">
        <v>0</v>
      </c>
      <c r="Z21">
        <v>0</v>
      </c>
      <c r="AA21" t="s">
        <v>162</v>
      </c>
      <c r="AB21" t="s">
        <v>222</v>
      </c>
      <c r="AC21" s="2">
        <v>0.42399999999999999</v>
      </c>
      <c r="AD21" t="s">
        <v>248</v>
      </c>
      <c r="AE21" s="2">
        <v>0.42399999999999999</v>
      </c>
      <c r="AF21">
        <v>4</v>
      </c>
    </row>
    <row r="22" spans="1:38" x14ac:dyDescent="0.35">
      <c r="A22" t="s">
        <v>54</v>
      </c>
      <c r="B22" t="s">
        <v>104</v>
      </c>
      <c r="C22">
        <v>25</v>
      </c>
      <c r="D22">
        <v>5</v>
      </c>
      <c r="F22">
        <v>10</v>
      </c>
      <c r="G22">
        <v>15</v>
      </c>
      <c r="H22">
        <v>91</v>
      </c>
      <c r="I22">
        <v>57</v>
      </c>
      <c r="K22">
        <v>176</v>
      </c>
      <c r="L22">
        <v>77</v>
      </c>
      <c r="M22">
        <v>101</v>
      </c>
      <c r="O22">
        <v>12</v>
      </c>
      <c r="P22" t="e">
        <f t="shared" ca="1" si="0"/>
        <v>#NAME?</v>
      </c>
      <c r="Q22" s="1">
        <v>0.82954545454545459</v>
      </c>
      <c r="R22">
        <v>1.9340659340659341</v>
      </c>
      <c r="S22">
        <v>1.3508771929824559</v>
      </c>
      <c r="T22">
        <v>16</v>
      </c>
      <c r="U22">
        <v>0</v>
      </c>
      <c r="V22">
        <v>1</v>
      </c>
      <c r="W22">
        <v>1</v>
      </c>
      <c r="X22">
        <v>1</v>
      </c>
      <c r="Y22">
        <v>0</v>
      </c>
      <c r="Z22">
        <v>0</v>
      </c>
      <c r="AA22" t="s">
        <v>125</v>
      </c>
      <c r="AB22" t="s">
        <v>195</v>
      </c>
      <c r="AC22" s="2">
        <v>0.88500000000000001</v>
      </c>
      <c r="AD22" t="s">
        <v>234</v>
      </c>
      <c r="AE22" s="2">
        <v>9.9000000000000005E-2</v>
      </c>
      <c r="AF22">
        <v>4</v>
      </c>
    </row>
    <row r="23" spans="1:38" x14ac:dyDescent="0.35">
      <c r="A23" t="s">
        <v>66</v>
      </c>
      <c r="B23" t="s">
        <v>104</v>
      </c>
      <c r="C23">
        <v>32</v>
      </c>
      <c r="D23">
        <v>6</v>
      </c>
      <c r="F23">
        <v>7</v>
      </c>
      <c r="G23">
        <v>11</v>
      </c>
      <c r="H23">
        <v>151</v>
      </c>
      <c r="I23">
        <v>61</v>
      </c>
      <c r="K23">
        <v>8611</v>
      </c>
      <c r="L23">
        <v>274</v>
      </c>
      <c r="M23">
        <v>143</v>
      </c>
      <c r="O23">
        <v>14</v>
      </c>
      <c r="P23" t="e">
        <f t="shared" ca="1" si="0"/>
        <v>#NAME?</v>
      </c>
      <c r="Q23" s="1">
        <v>0.99001045417586242</v>
      </c>
      <c r="R23">
        <v>57.026490066225158</v>
      </c>
      <c r="S23">
        <v>4.4918032786885247</v>
      </c>
      <c r="T23">
        <v>13</v>
      </c>
      <c r="U23">
        <v>0</v>
      </c>
      <c r="V23">
        <v>0</v>
      </c>
      <c r="W23">
        <v>0</v>
      </c>
      <c r="X23">
        <v>1</v>
      </c>
      <c r="Y23">
        <v>0</v>
      </c>
      <c r="Z23">
        <v>0</v>
      </c>
      <c r="AA23" t="s">
        <v>137</v>
      </c>
      <c r="AB23" t="s">
        <v>205</v>
      </c>
      <c r="AC23" s="2">
        <v>0.154</v>
      </c>
      <c r="AD23" t="s">
        <v>239</v>
      </c>
      <c r="AE23" s="2">
        <v>0.80099999999999993</v>
      </c>
      <c r="AF23">
        <v>4</v>
      </c>
    </row>
    <row r="24" spans="1:38" s="7" customFormat="1" x14ac:dyDescent="0.35">
      <c r="A24" s="7" t="s">
        <v>39</v>
      </c>
      <c r="B24" s="7" t="s">
        <v>104</v>
      </c>
      <c r="C24" s="7">
        <v>32</v>
      </c>
      <c r="D24" s="7">
        <v>5</v>
      </c>
      <c r="F24" s="7">
        <v>10</v>
      </c>
      <c r="G24" s="7">
        <v>19</v>
      </c>
      <c r="H24" s="7">
        <v>254</v>
      </c>
      <c r="I24" s="7">
        <v>125</v>
      </c>
      <c r="K24" s="7">
        <v>1006</v>
      </c>
      <c r="L24" s="7">
        <v>1179</v>
      </c>
      <c r="M24" s="7">
        <v>226</v>
      </c>
      <c r="O24" s="7">
        <v>7</v>
      </c>
      <c r="P24" s="7" t="e">
        <f t="shared" ca="1" si="0"/>
        <v>#NAME?</v>
      </c>
      <c r="Q24" s="8">
        <v>0.68520357497517381</v>
      </c>
      <c r="R24" s="7">
        <v>3.960629921259843</v>
      </c>
      <c r="S24" s="7">
        <v>9.4320000000000004</v>
      </c>
      <c r="T24" s="7">
        <v>14</v>
      </c>
      <c r="U24" s="7">
        <v>0</v>
      </c>
      <c r="V24" s="7">
        <v>0</v>
      </c>
      <c r="W24" s="7">
        <v>0</v>
      </c>
      <c r="X24" s="7">
        <v>1</v>
      </c>
      <c r="Y24" s="7">
        <v>1</v>
      </c>
      <c r="Z24" s="7">
        <v>0</v>
      </c>
      <c r="AA24" s="7" t="s">
        <v>110</v>
      </c>
      <c r="AB24" s="7" t="s">
        <v>180</v>
      </c>
      <c r="AC24" s="9">
        <v>0.92299999999999993</v>
      </c>
      <c r="AD24" s="7" t="s">
        <v>236</v>
      </c>
      <c r="AE24" s="9">
        <v>3.5999999999999997E-2</v>
      </c>
      <c r="AF24" s="7">
        <v>7</v>
      </c>
    </row>
    <row r="25" spans="1:38" x14ac:dyDescent="0.35">
      <c r="A25" t="s">
        <v>59</v>
      </c>
      <c r="B25" t="s">
        <v>104</v>
      </c>
      <c r="C25">
        <v>20</v>
      </c>
      <c r="D25">
        <v>5</v>
      </c>
      <c r="F25">
        <v>17</v>
      </c>
      <c r="G25">
        <v>25</v>
      </c>
      <c r="H25">
        <v>520</v>
      </c>
      <c r="I25">
        <v>162</v>
      </c>
      <c r="K25">
        <v>17733</v>
      </c>
      <c r="L25">
        <v>3909</v>
      </c>
      <c r="M25">
        <v>492</v>
      </c>
      <c r="O25">
        <v>13</v>
      </c>
      <c r="P25" t="e">
        <f t="shared" ca="1" si="0"/>
        <v>#NAME?</v>
      </c>
      <c r="Q25" s="1">
        <v>0.82968397291196383</v>
      </c>
      <c r="R25">
        <v>34.101923076923079</v>
      </c>
      <c r="S25">
        <v>24.12962962962963</v>
      </c>
      <c r="T25">
        <v>7</v>
      </c>
      <c r="U25">
        <v>0</v>
      </c>
      <c r="V25">
        <v>0</v>
      </c>
      <c r="W25">
        <v>0</v>
      </c>
      <c r="X25">
        <v>1</v>
      </c>
      <c r="Y25">
        <v>1</v>
      </c>
      <c r="Z25">
        <v>0</v>
      </c>
      <c r="AA25" t="s">
        <v>130</v>
      </c>
      <c r="AB25" t="s">
        <v>199</v>
      </c>
      <c r="AC25" s="2">
        <v>0.94799999999999995</v>
      </c>
      <c r="AD25" t="s">
        <v>237</v>
      </c>
      <c r="AE25" s="2">
        <v>6.9999999999999993E-3</v>
      </c>
      <c r="AF25">
        <v>10</v>
      </c>
    </row>
    <row r="26" spans="1:38" x14ac:dyDescent="0.35">
      <c r="A26" t="s">
        <v>102</v>
      </c>
      <c r="B26" t="s">
        <v>104</v>
      </c>
      <c r="C26">
        <v>15</v>
      </c>
      <c r="D26">
        <v>6</v>
      </c>
      <c r="F26">
        <v>8</v>
      </c>
      <c r="G26">
        <v>12</v>
      </c>
      <c r="H26">
        <v>96</v>
      </c>
      <c r="I26">
        <v>37</v>
      </c>
      <c r="K26">
        <v>284</v>
      </c>
      <c r="L26">
        <v>68</v>
      </c>
      <c r="M26">
        <v>75</v>
      </c>
      <c r="O26">
        <v>28</v>
      </c>
      <c r="P26" t="e">
        <f t="shared" ca="1" si="0"/>
        <v>#NAME?</v>
      </c>
      <c r="Q26" s="1">
        <v>0.24381625441696109</v>
      </c>
      <c r="R26">
        <v>2.958333333333333</v>
      </c>
      <c r="S26">
        <v>1.8378378378378379</v>
      </c>
      <c r="T26">
        <v>21</v>
      </c>
      <c r="U26">
        <v>44</v>
      </c>
      <c r="V26">
        <v>6</v>
      </c>
      <c r="W26">
        <v>5</v>
      </c>
      <c r="X26">
        <v>48</v>
      </c>
      <c r="Y26">
        <v>2</v>
      </c>
      <c r="Z26">
        <v>0</v>
      </c>
      <c r="AA26" t="s">
        <v>173</v>
      </c>
      <c r="AB26" t="s">
        <v>196</v>
      </c>
      <c r="AC26" s="2">
        <v>1</v>
      </c>
      <c r="AD26" t="s">
        <v>242</v>
      </c>
      <c r="AE26" s="2">
        <v>0</v>
      </c>
      <c r="AF26">
        <v>1</v>
      </c>
    </row>
    <row r="27" spans="1:38" x14ac:dyDescent="0.35">
      <c r="A27" t="s">
        <v>93</v>
      </c>
      <c r="B27" t="s">
        <v>104</v>
      </c>
      <c r="C27">
        <v>33</v>
      </c>
      <c r="D27">
        <v>5</v>
      </c>
      <c r="F27">
        <v>14</v>
      </c>
      <c r="G27">
        <v>15</v>
      </c>
      <c r="H27">
        <v>137</v>
      </c>
      <c r="I27">
        <v>95</v>
      </c>
      <c r="K27">
        <v>602</v>
      </c>
      <c r="L27">
        <v>305</v>
      </c>
      <c r="M27">
        <v>171</v>
      </c>
      <c r="O27">
        <v>24</v>
      </c>
      <c r="P27" t="e">
        <f t="shared" ca="1" si="0"/>
        <v>#NAME?</v>
      </c>
      <c r="Q27" s="1">
        <v>0.51747088186356072</v>
      </c>
      <c r="R27">
        <v>4.3941605839416056</v>
      </c>
      <c r="S27">
        <v>3.2105263157894739</v>
      </c>
      <c r="T27">
        <v>13</v>
      </c>
      <c r="U27">
        <v>0</v>
      </c>
      <c r="V27">
        <v>0</v>
      </c>
      <c r="W27">
        <v>0</v>
      </c>
      <c r="X27">
        <v>2</v>
      </c>
      <c r="Y27">
        <v>0</v>
      </c>
      <c r="Z27">
        <v>0</v>
      </c>
      <c r="AA27" t="s">
        <v>164</v>
      </c>
      <c r="AB27" t="s">
        <v>224</v>
      </c>
      <c r="AC27" s="2">
        <v>0.95299999999999996</v>
      </c>
      <c r="AD27" t="s">
        <v>234</v>
      </c>
      <c r="AE27" s="2">
        <v>2.1000000000000001E-2</v>
      </c>
      <c r="AF27">
        <v>4</v>
      </c>
    </row>
    <row r="28" spans="1:38" x14ac:dyDescent="0.35">
      <c r="A28" t="s">
        <v>80</v>
      </c>
      <c r="B28" t="s">
        <v>104</v>
      </c>
      <c r="C28">
        <v>8</v>
      </c>
      <c r="D28">
        <v>12</v>
      </c>
      <c r="F28">
        <v>14</v>
      </c>
      <c r="G28">
        <v>16</v>
      </c>
      <c r="H28">
        <v>178</v>
      </c>
      <c r="I28">
        <v>169</v>
      </c>
      <c r="K28">
        <v>327</v>
      </c>
      <c r="L28">
        <v>296</v>
      </c>
      <c r="M28">
        <v>74</v>
      </c>
      <c r="O28">
        <v>17</v>
      </c>
      <c r="P28" t="e">
        <f t="shared" ca="1" si="0"/>
        <v>#NAME?</v>
      </c>
      <c r="Q28" s="1">
        <v>0.3149847094801223</v>
      </c>
      <c r="R28">
        <v>1.837078651685393</v>
      </c>
      <c r="S28">
        <v>1.751479289940828</v>
      </c>
      <c r="T28">
        <v>9</v>
      </c>
      <c r="U28">
        <v>22</v>
      </c>
      <c r="V28">
        <v>4</v>
      </c>
      <c r="W28">
        <v>3</v>
      </c>
      <c r="X28">
        <v>2</v>
      </c>
      <c r="Y28">
        <v>2</v>
      </c>
      <c r="Z28">
        <v>0</v>
      </c>
      <c r="AA28" t="s">
        <v>151</v>
      </c>
      <c r="AB28" t="s">
        <v>214</v>
      </c>
      <c r="AC28" s="2">
        <v>0.96900000000000008</v>
      </c>
      <c r="AD28" t="s">
        <v>245</v>
      </c>
      <c r="AE28" s="2">
        <v>2.4E-2</v>
      </c>
      <c r="AF28">
        <v>4</v>
      </c>
      <c r="AJ28" t="s">
        <v>267</v>
      </c>
      <c r="AK28">
        <v>2</v>
      </c>
    </row>
    <row r="29" spans="1:38" x14ac:dyDescent="0.35">
      <c r="A29" t="s">
        <v>100</v>
      </c>
      <c r="B29" t="s">
        <v>104</v>
      </c>
      <c r="C29">
        <v>17</v>
      </c>
      <c r="D29">
        <v>5</v>
      </c>
      <c r="F29">
        <v>12</v>
      </c>
      <c r="G29">
        <v>20</v>
      </c>
      <c r="H29">
        <v>351</v>
      </c>
      <c r="I29">
        <v>187</v>
      </c>
      <c r="K29">
        <v>910</v>
      </c>
      <c r="L29">
        <v>508</v>
      </c>
      <c r="M29">
        <v>372</v>
      </c>
      <c r="O29">
        <v>26</v>
      </c>
      <c r="P29" t="e">
        <f t="shared" ca="1" si="0"/>
        <v>#NAME?</v>
      </c>
      <c r="Q29" s="1">
        <v>0.98351648351648346</v>
      </c>
      <c r="R29">
        <v>2.592592592592593</v>
      </c>
      <c r="S29">
        <v>2.7165775401069521</v>
      </c>
      <c r="T29">
        <v>5</v>
      </c>
      <c r="U29">
        <v>18</v>
      </c>
      <c r="V29">
        <v>4</v>
      </c>
      <c r="W29">
        <v>4</v>
      </c>
      <c r="X29">
        <v>29</v>
      </c>
      <c r="Y29">
        <v>1</v>
      </c>
      <c r="Z29">
        <v>0</v>
      </c>
      <c r="AA29" t="s">
        <v>171</v>
      </c>
      <c r="AB29" t="s">
        <v>230</v>
      </c>
      <c r="AC29" s="2">
        <v>0.9840000000000001</v>
      </c>
      <c r="AD29" t="s">
        <v>248</v>
      </c>
      <c r="AE29" s="2">
        <v>1.4999999999999999E-2</v>
      </c>
      <c r="AF29">
        <v>2</v>
      </c>
    </row>
    <row r="30" spans="1:38" x14ac:dyDescent="0.35">
      <c r="A30" t="s">
        <v>41</v>
      </c>
      <c r="B30" t="s">
        <v>104</v>
      </c>
      <c r="C30">
        <v>52</v>
      </c>
      <c r="D30">
        <v>6</v>
      </c>
      <c r="F30">
        <v>11</v>
      </c>
      <c r="G30">
        <v>28</v>
      </c>
      <c r="H30">
        <v>1394</v>
      </c>
      <c r="I30">
        <v>737</v>
      </c>
      <c r="K30">
        <v>97212</v>
      </c>
      <c r="L30">
        <v>3542</v>
      </c>
      <c r="M30">
        <v>1281</v>
      </c>
      <c r="O30">
        <v>8</v>
      </c>
      <c r="P30" t="e">
        <f t="shared" ca="1" si="0"/>
        <v>#NAME?</v>
      </c>
      <c r="Q30" s="1">
        <v>9.928509799087884E-2</v>
      </c>
      <c r="R30">
        <v>69.736011477761835</v>
      </c>
      <c r="S30">
        <v>4.8059701492537306</v>
      </c>
      <c r="T30">
        <v>15</v>
      </c>
      <c r="U30">
        <v>4</v>
      </c>
      <c r="V30">
        <v>0</v>
      </c>
      <c r="W30">
        <v>0</v>
      </c>
      <c r="X30">
        <v>1</v>
      </c>
      <c r="Y30">
        <v>0</v>
      </c>
      <c r="Z30">
        <v>0</v>
      </c>
      <c r="AA30" t="s">
        <v>112</v>
      </c>
      <c r="AB30" t="s">
        <v>182</v>
      </c>
      <c r="AC30" s="2">
        <v>0.78200000000000003</v>
      </c>
      <c r="AD30" t="s">
        <v>237</v>
      </c>
      <c r="AE30" s="2">
        <v>0.104</v>
      </c>
      <c r="AF30">
        <v>10</v>
      </c>
    </row>
    <row r="31" spans="1:38" x14ac:dyDescent="0.35">
      <c r="A31" t="s">
        <v>87</v>
      </c>
      <c r="B31" t="s">
        <v>104</v>
      </c>
      <c r="C31">
        <v>12</v>
      </c>
      <c r="D31">
        <v>11</v>
      </c>
      <c r="F31">
        <v>7</v>
      </c>
      <c r="G31">
        <v>15</v>
      </c>
      <c r="H31">
        <v>133</v>
      </c>
      <c r="I31">
        <v>46</v>
      </c>
      <c r="K31">
        <v>300</v>
      </c>
      <c r="L31">
        <v>80</v>
      </c>
      <c r="M31">
        <v>109</v>
      </c>
      <c r="O31">
        <v>19</v>
      </c>
      <c r="P31" t="e">
        <f t="shared" ca="1" si="0"/>
        <v>#NAME?</v>
      </c>
      <c r="Q31" s="1">
        <v>0.62333333333333329</v>
      </c>
      <c r="R31">
        <v>2.255639097744361</v>
      </c>
      <c r="S31">
        <v>1.7391304347826091</v>
      </c>
      <c r="T31">
        <v>7</v>
      </c>
      <c r="U31">
        <v>0</v>
      </c>
      <c r="V31">
        <v>0</v>
      </c>
      <c r="W31">
        <v>0</v>
      </c>
      <c r="X31">
        <v>25</v>
      </c>
      <c r="Y31">
        <v>0</v>
      </c>
      <c r="Z31">
        <v>0</v>
      </c>
      <c r="AA31" t="s">
        <v>158</v>
      </c>
      <c r="AB31" t="s">
        <v>196</v>
      </c>
      <c r="AC31" s="2">
        <v>1</v>
      </c>
      <c r="AD31" t="s">
        <v>242</v>
      </c>
      <c r="AE31" s="2">
        <v>0</v>
      </c>
      <c r="AF31">
        <v>1</v>
      </c>
      <c r="AL31">
        <v>1</v>
      </c>
    </row>
    <row r="32" spans="1:38" x14ac:dyDescent="0.35">
      <c r="A32" t="s">
        <v>40</v>
      </c>
      <c r="B32" t="s">
        <v>104</v>
      </c>
      <c r="C32">
        <v>29</v>
      </c>
      <c r="D32">
        <v>5</v>
      </c>
      <c r="F32">
        <v>16</v>
      </c>
      <c r="G32">
        <v>17</v>
      </c>
      <c r="H32">
        <v>697</v>
      </c>
      <c r="I32">
        <v>80</v>
      </c>
      <c r="K32">
        <v>1236</v>
      </c>
      <c r="L32">
        <v>196</v>
      </c>
      <c r="M32">
        <v>710</v>
      </c>
      <c r="O32">
        <v>7</v>
      </c>
      <c r="P32" t="e">
        <f t="shared" ca="1" si="0"/>
        <v>#NAME?</v>
      </c>
      <c r="Q32" s="1">
        <v>0.69417475728155342</v>
      </c>
      <c r="R32">
        <v>1.773314203730272</v>
      </c>
      <c r="S32">
        <v>2.4500000000000002</v>
      </c>
      <c r="T32">
        <v>9</v>
      </c>
      <c r="U32">
        <v>0</v>
      </c>
      <c r="V32">
        <v>0</v>
      </c>
      <c r="W32">
        <v>0</v>
      </c>
      <c r="X32">
        <v>1</v>
      </c>
      <c r="Y32">
        <v>0</v>
      </c>
      <c r="Z32">
        <v>0</v>
      </c>
      <c r="AA32" t="s">
        <v>111</v>
      </c>
      <c r="AB32" t="s">
        <v>181</v>
      </c>
      <c r="AC32" s="2">
        <v>0.995</v>
      </c>
      <c r="AD32" t="s">
        <v>234</v>
      </c>
      <c r="AE32" s="2">
        <v>3.0000000000000001E-3</v>
      </c>
      <c r="AF32">
        <v>2</v>
      </c>
    </row>
    <row r="33" spans="1:38" x14ac:dyDescent="0.35">
      <c r="A33" t="s">
        <v>42</v>
      </c>
      <c r="B33" t="s">
        <v>104</v>
      </c>
      <c r="C33">
        <v>25</v>
      </c>
      <c r="D33">
        <v>5</v>
      </c>
      <c r="F33">
        <v>9</v>
      </c>
      <c r="G33">
        <v>17</v>
      </c>
      <c r="H33">
        <v>190</v>
      </c>
      <c r="I33">
        <v>131</v>
      </c>
      <c r="K33">
        <v>1021</v>
      </c>
      <c r="L33">
        <v>396</v>
      </c>
      <c r="M33">
        <v>171</v>
      </c>
      <c r="O33">
        <v>8</v>
      </c>
      <c r="P33" t="e">
        <f t="shared" ca="1" si="0"/>
        <v>#NAME?</v>
      </c>
      <c r="Q33" s="1">
        <v>0.54252199413489732</v>
      </c>
      <c r="R33">
        <v>5.3736842105263154</v>
      </c>
      <c r="S33">
        <v>3.0229007633587792</v>
      </c>
      <c r="T33">
        <v>24</v>
      </c>
      <c r="U33">
        <v>0</v>
      </c>
      <c r="V33">
        <v>0</v>
      </c>
      <c r="W33">
        <v>0</v>
      </c>
      <c r="X33">
        <v>1</v>
      </c>
      <c r="Y33">
        <v>2</v>
      </c>
      <c r="Z33">
        <v>0</v>
      </c>
      <c r="AA33" t="s">
        <v>113</v>
      </c>
      <c r="AB33" t="s">
        <v>183</v>
      </c>
      <c r="AC33" s="2">
        <v>0.56100000000000005</v>
      </c>
      <c r="AD33" t="s">
        <v>238</v>
      </c>
      <c r="AE33" s="2">
        <v>0.224</v>
      </c>
      <c r="AF33">
        <v>10</v>
      </c>
    </row>
    <row r="34" spans="1:38" x14ac:dyDescent="0.35">
      <c r="A34" t="s">
        <v>88</v>
      </c>
      <c r="B34" t="s">
        <v>104</v>
      </c>
      <c r="C34">
        <v>23</v>
      </c>
      <c r="D34">
        <v>5</v>
      </c>
      <c r="F34">
        <v>5</v>
      </c>
      <c r="G34">
        <v>18</v>
      </c>
      <c r="H34">
        <v>164</v>
      </c>
      <c r="I34">
        <v>87</v>
      </c>
      <c r="K34">
        <v>615</v>
      </c>
      <c r="L34">
        <v>916</v>
      </c>
      <c r="M34">
        <v>190</v>
      </c>
      <c r="O34">
        <v>21</v>
      </c>
      <c r="P34" t="e">
        <f t="shared" ca="1" si="0"/>
        <v>#NAME?</v>
      </c>
      <c r="Q34" s="1">
        <v>0.49268292682926829</v>
      </c>
      <c r="R34">
        <v>3.75</v>
      </c>
      <c r="S34">
        <v>10.52873563218391</v>
      </c>
      <c r="T34">
        <v>8</v>
      </c>
      <c r="U34">
        <v>0</v>
      </c>
      <c r="V34">
        <v>1</v>
      </c>
      <c r="W34">
        <v>1</v>
      </c>
      <c r="X34">
        <v>2</v>
      </c>
      <c r="Y34">
        <v>1</v>
      </c>
      <c r="Z34">
        <v>0</v>
      </c>
      <c r="AA34" t="s">
        <v>159</v>
      </c>
      <c r="AB34" t="s">
        <v>219</v>
      </c>
      <c r="AC34" s="2">
        <v>0.997</v>
      </c>
      <c r="AD34" t="s">
        <v>246</v>
      </c>
      <c r="AE34" s="2">
        <v>2E-3</v>
      </c>
      <c r="AF34">
        <v>2</v>
      </c>
    </row>
    <row r="35" spans="1:38" s="7" customFormat="1" x14ac:dyDescent="0.35">
      <c r="A35" s="7" t="s">
        <v>67</v>
      </c>
      <c r="B35" t="s">
        <v>104</v>
      </c>
      <c r="C35">
        <v>25</v>
      </c>
      <c r="D35">
        <v>13</v>
      </c>
      <c r="E35"/>
      <c r="F35">
        <v>11</v>
      </c>
      <c r="G35">
        <v>17</v>
      </c>
      <c r="H35">
        <v>172</v>
      </c>
      <c r="I35">
        <v>63</v>
      </c>
      <c r="J35"/>
      <c r="K35">
        <v>452</v>
      </c>
      <c r="L35">
        <v>200</v>
      </c>
      <c r="M35">
        <v>168</v>
      </c>
      <c r="N35"/>
      <c r="O35">
        <v>14</v>
      </c>
      <c r="P35" t="e">
        <f t="shared" ref="P35:P66" ca="1" si="1">_xludf.VAR.P(C35, D35, F35, G35)</f>
        <v>#NAME?</v>
      </c>
      <c r="Q35" s="1">
        <v>0.59139784946236562</v>
      </c>
      <c r="R35">
        <v>2.6279069767441858</v>
      </c>
      <c r="S35">
        <v>3.174603174603174</v>
      </c>
      <c r="T35">
        <v>5</v>
      </c>
      <c r="U35">
        <v>0</v>
      </c>
      <c r="V35">
        <v>0</v>
      </c>
      <c r="W35">
        <v>0</v>
      </c>
      <c r="X35">
        <v>1</v>
      </c>
      <c r="Y35">
        <v>2</v>
      </c>
      <c r="Z35">
        <v>0</v>
      </c>
      <c r="AA35" t="s">
        <v>138</v>
      </c>
      <c r="AB35" t="s">
        <v>206</v>
      </c>
      <c r="AC35" s="2">
        <v>0.99400000000000011</v>
      </c>
      <c r="AD35" t="s">
        <v>243</v>
      </c>
      <c r="AE35" s="2">
        <v>5.0000000000000001E-3</v>
      </c>
      <c r="AF35">
        <v>2</v>
      </c>
      <c r="AG35"/>
      <c r="AH35"/>
      <c r="AI35"/>
      <c r="AJ35" s="7" t="s">
        <v>268</v>
      </c>
    </row>
    <row r="36" spans="1:38" x14ac:dyDescent="0.35">
      <c r="A36" t="s">
        <v>64</v>
      </c>
      <c r="B36" t="s">
        <v>104</v>
      </c>
      <c r="C36">
        <v>19</v>
      </c>
      <c r="D36">
        <v>7</v>
      </c>
      <c r="F36">
        <v>9</v>
      </c>
      <c r="G36">
        <v>13</v>
      </c>
      <c r="H36">
        <v>252</v>
      </c>
      <c r="I36">
        <v>92</v>
      </c>
      <c r="K36">
        <v>782</v>
      </c>
      <c r="L36">
        <v>613</v>
      </c>
      <c r="M36">
        <v>244</v>
      </c>
      <c r="O36">
        <v>13</v>
      </c>
      <c r="P36" t="e">
        <f t="shared" ca="1" si="1"/>
        <v>#NAME?</v>
      </c>
      <c r="Q36" s="1">
        <v>0.53639846743295017</v>
      </c>
      <c r="R36">
        <v>3.1031746031746028</v>
      </c>
      <c r="S36">
        <v>6.6630434782608692</v>
      </c>
      <c r="T36">
        <v>8</v>
      </c>
      <c r="U36">
        <v>0</v>
      </c>
      <c r="V36">
        <v>0</v>
      </c>
      <c r="W36">
        <v>0</v>
      </c>
      <c r="X36">
        <v>189</v>
      </c>
      <c r="Z36">
        <v>0</v>
      </c>
      <c r="AA36" t="s">
        <v>135</v>
      </c>
      <c r="AB36" t="s">
        <v>203</v>
      </c>
      <c r="AC36" s="2">
        <v>0.46300000000000002</v>
      </c>
      <c r="AD36" t="s">
        <v>239</v>
      </c>
      <c r="AE36" s="2">
        <v>0.52800000000000002</v>
      </c>
      <c r="AF36">
        <v>7</v>
      </c>
    </row>
    <row r="37" spans="1:38" x14ac:dyDescent="0.35">
      <c r="A37" t="s">
        <v>68</v>
      </c>
      <c r="B37" t="s">
        <v>104</v>
      </c>
      <c r="C37">
        <v>31</v>
      </c>
      <c r="D37">
        <v>5</v>
      </c>
      <c r="F37">
        <v>8</v>
      </c>
      <c r="G37">
        <v>16</v>
      </c>
      <c r="H37">
        <v>98</v>
      </c>
      <c r="I37">
        <v>42</v>
      </c>
      <c r="K37">
        <v>921</v>
      </c>
      <c r="L37">
        <v>2398</v>
      </c>
      <c r="M37">
        <v>127</v>
      </c>
      <c r="O37">
        <v>15</v>
      </c>
      <c r="P37" t="e">
        <f t="shared" ca="1" si="1"/>
        <v>#NAME?</v>
      </c>
      <c r="Q37" s="1">
        <v>0.97502714440825189</v>
      </c>
      <c r="R37">
        <v>9.3979591836734695</v>
      </c>
      <c r="S37">
        <v>57.095238095238088</v>
      </c>
      <c r="T37">
        <v>9</v>
      </c>
      <c r="U37">
        <v>0</v>
      </c>
      <c r="V37">
        <v>0</v>
      </c>
      <c r="W37">
        <v>0</v>
      </c>
      <c r="X37">
        <v>1</v>
      </c>
      <c r="Y37">
        <v>0</v>
      </c>
      <c r="Z37">
        <v>0</v>
      </c>
      <c r="AA37" t="s">
        <v>139</v>
      </c>
      <c r="AB37" t="s">
        <v>207</v>
      </c>
      <c r="AC37" s="2">
        <v>0.99900000000000011</v>
      </c>
      <c r="AD37" t="s">
        <v>242</v>
      </c>
      <c r="AE37" s="2">
        <v>0</v>
      </c>
      <c r="AF37">
        <v>1</v>
      </c>
    </row>
    <row r="38" spans="1:38" x14ac:dyDescent="0.35">
      <c r="A38" t="s">
        <v>38</v>
      </c>
      <c r="B38" t="s">
        <v>104</v>
      </c>
      <c r="C38">
        <v>22</v>
      </c>
      <c r="D38">
        <v>9</v>
      </c>
      <c r="F38">
        <v>12</v>
      </c>
      <c r="G38">
        <v>14</v>
      </c>
      <c r="H38">
        <v>92</v>
      </c>
      <c r="I38">
        <v>35</v>
      </c>
      <c r="K38">
        <v>1035</v>
      </c>
      <c r="L38">
        <v>121</v>
      </c>
      <c r="M38">
        <v>115</v>
      </c>
      <c r="O38">
        <v>6</v>
      </c>
      <c r="P38" t="e">
        <f t="shared" ca="1" si="1"/>
        <v>#NAME?</v>
      </c>
      <c r="Q38" s="1">
        <v>0.74854932301740817</v>
      </c>
      <c r="R38">
        <v>11.25</v>
      </c>
      <c r="S38">
        <v>3.4571428571428569</v>
      </c>
      <c r="T38">
        <v>14</v>
      </c>
      <c r="U38">
        <v>0</v>
      </c>
      <c r="V38">
        <v>0</v>
      </c>
      <c r="W38">
        <v>0</v>
      </c>
      <c r="X38">
        <v>1</v>
      </c>
      <c r="Y38">
        <v>1</v>
      </c>
      <c r="Z38">
        <v>0</v>
      </c>
      <c r="AA38" t="s">
        <v>109</v>
      </c>
      <c r="AB38" t="s">
        <v>179</v>
      </c>
      <c r="AC38" s="2">
        <v>0.98699999999999999</v>
      </c>
      <c r="AD38" t="s">
        <v>236</v>
      </c>
      <c r="AE38" s="2">
        <v>1.2E-2</v>
      </c>
      <c r="AF38">
        <v>2</v>
      </c>
    </row>
    <row r="39" spans="1:38" x14ac:dyDescent="0.35">
      <c r="A39" t="s">
        <v>98</v>
      </c>
      <c r="B39" t="s">
        <v>104</v>
      </c>
      <c r="C39">
        <v>35</v>
      </c>
      <c r="D39">
        <v>14</v>
      </c>
      <c r="F39">
        <v>12</v>
      </c>
      <c r="G39">
        <v>15</v>
      </c>
      <c r="H39">
        <v>110</v>
      </c>
      <c r="I39">
        <v>38</v>
      </c>
      <c r="K39">
        <v>401</v>
      </c>
      <c r="L39">
        <v>151</v>
      </c>
      <c r="M39">
        <v>131</v>
      </c>
      <c r="O39">
        <v>25</v>
      </c>
      <c r="P39" t="e">
        <f t="shared" ca="1" si="1"/>
        <v>#NAME?</v>
      </c>
      <c r="Q39" s="1">
        <v>0.38701298701298698</v>
      </c>
      <c r="R39">
        <v>3.6454545454545459</v>
      </c>
      <c r="S39">
        <v>3.9736842105263159</v>
      </c>
      <c r="T39">
        <v>11</v>
      </c>
      <c r="U39">
        <v>6</v>
      </c>
      <c r="V39">
        <v>3</v>
      </c>
      <c r="W39">
        <v>3</v>
      </c>
      <c r="X39">
        <v>10</v>
      </c>
      <c r="Y39">
        <v>0</v>
      </c>
      <c r="Z39">
        <v>0</v>
      </c>
      <c r="AA39" t="s">
        <v>169</v>
      </c>
      <c r="AB39" t="s">
        <v>228</v>
      </c>
      <c r="AC39" s="2">
        <v>0.98599999999999999</v>
      </c>
      <c r="AD39" t="s">
        <v>239</v>
      </c>
      <c r="AE39" s="2">
        <v>6.0000000000000001E-3</v>
      </c>
      <c r="AF39">
        <v>3</v>
      </c>
      <c r="AJ39" t="s">
        <v>269</v>
      </c>
      <c r="AL39">
        <v>1</v>
      </c>
    </row>
    <row r="40" spans="1:38" x14ac:dyDescent="0.35">
      <c r="A40" t="s">
        <v>82</v>
      </c>
      <c r="B40" t="s">
        <v>104</v>
      </c>
      <c r="C40">
        <v>25</v>
      </c>
      <c r="D40">
        <v>6</v>
      </c>
      <c r="F40">
        <v>5</v>
      </c>
      <c r="G40">
        <v>25</v>
      </c>
      <c r="H40">
        <v>465</v>
      </c>
      <c r="I40">
        <v>130</v>
      </c>
      <c r="K40">
        <v>20319</v>
      </c>
      <c r="L40">
        <v>790</v>
      </c>
      <c r="M40">
        <v>491</v>
      </c>
      <c r="O40">
        <v>18</v>
      </c>
      <c r="P40" t="e">
        <f t="shared" ca="1" si="1"/>
        <v>#NAME?</v>
      </c>
      <c r="Q40" s="1">
        <v>0.96101210987496311</v>
      </c>
      <c r="R40">
        <v>43.696774193548393</v>
      </c>
      <c r="S40">
        <v>6.0769230769230766</v>
      </c>
      <c r="T40">
        <v>6</v>
      </c>
      <c r="U40">
        <v>17</v>
      </c>
      <c r="V40">
        <v>4</v>
      </c>
      <c r="W40">
        <v>4</v>
      </c>
      <c r="X40">
        <v>88</v>
      </c>
      <c r="Y40">
        <v>0</v>
      </c>
      <c r="Z40">
        <v>0</v>
      </c>
      <c r="AA40" t="s">
        <v>153</v>
      </c>
      <c r="AB40" t="s">
        <v>215</v>
      </c>
      <c r="AC40" s="2">
        <v>0.877</v>
      </c>
      <c r="AD40" t="s">
        <v>237</v>
      </c>
      <c r="AE40" s="2">
        <v>7.2999999999999995E-2</v>
      </c>
      <c r="AF40">
        <v>10</v>
      </c>
    </row>
    <row r="41" spans="1:38" x14ac:dyDescent="0.35">
      <c r="A41" t="s">
        <v>46</v>
      </c>
      <c r="B41" t="s">
        <v>104</v>
      </c>
      <c r="C41">
        <v>18</v>
      </c>
      <c r="D41">
        <v>8</v>
      </c>
      <c r="F41">
        <v>8</v>
      </c>
      <c r="G41">
        <v>14</v>
      </c>
      <c r="H41">
        <v>70</v>
      </c>
      <c r="I41">
        <v>34</v>
      </c>
      <c r="K41">
        <v>375</v>
      </c>
      <c r="L41">
        <v>77</v>
      </c>
      <c r="M41">
        <v>73</v>
      </c>
      <c r="O41">
        <v>9</v>
      </c>
      <c r="P41" t="e">
        <f t="shared" ca="1" si="1"/>
        <v>#NAME?</v>
      </c>
      <c r="Q41" s="1">
        <v>0.95199999999999996</v>
      </c>
      <c r="R41">
        <v>5.3571428571428568</v>
      </c>
      <c r="S41">
        <v>2.2647058823529411</v>
      </c>
      <c r="T41">
        <v>22</v>
      </c>
      <c r="U41">
        <v>0</v>
      </c>
      <c r="V41">
        <v>1</v>
      </c>
      <c r="W41">
        <v>1</v>
      </c>
      <c r="X41">
        <v>1</v>
      </c>
      <c r="Y41">
        <v>0</v>
      </c>
      <c r="Z41">
        <v>0</v>
      </c>
      <c r="AA41" t="s">
        <v>117</v>
      </c>
      <c r="AB41" t="s">
        <v>187</v>
      </c>
      <c r="AC41" s="2">
        <v>0.96099999999999997</v>
      </c>
      <c r="AD41" t="s">
        <v>240</v>
      </c>
      <c r="AE41" s="2">
        <v>3.7999999999999999E-2</v>
      </c>
      <c r="AF41">
        <v>2</v>
      </c>
    </row>
    <row r="42" spans="1:38" x14ac:dyDescent="0.35">
      <c r="A42" t="s">
        <v>62</v>
      </c>
      <c r="B42" t="s">
        <v>104</v>
      </c>
      <c r="C42">
        <v>48</v>
      </c>
      <c r="D42">
        <v>6</v>
      </c>
      <c r="F42">
        <v>8</v>
      </c>
      <c r="G42">
        <v>22</v>
      </c>
      <c r="H42">
        <v>423</v>
      </c>
      <c r="I42">
        <v>205</v>
      </c>
      <c r="K42">
        <v>1611</v>
      </c>
      <c r="L42">
        <v>1533</v>
      </c>
      <c r="M42">
        <v>439</v>
      </c>
      <c r="O42">
        <v>13</v>
      </c>
      <c r="P42" t="e">
        <f t="shared" ca="1" si="1"/>
        <v>#NAME?</v>
      </c>
      <c r="Q42" s="1">
        <v>0.80111179740580607</v>
      </c>
      <c r="R42">
        <v>3.808510638297872</v>
      </c>
      <c r="S42">
        <v>7.4780487804878053</v>
      </c>
      <c r="T42">
        <v>12</v>
      </c>
      <c r="U42">
        <v>0</v>
      </c>
      <c r="V42">
        <v>0</v>
      </c>
      <c r="W42">
        <v>0</v>
      </c>
      <c r="X42">
        <v>1</v>
      </c>
      <c r="Y42">
        <v>1</v>
      </c>
      <c r="Z42">
        <v>0</v>
      </c>
      <c r="AA42" t="s">
        <v>133</v>
      </c>
      <c r="AB42" t="s">
        <v>201</v>
      </c>
      <c r="AC42" s="2">
        <v>6.8000000000000005E-2</v>
      </c>
      <c r="AD42" t="s">
        <v>237</v>
      </c>
      <c r="AE42" s="2">
        <v>0.92400000000000004</v>
      </c>
      <c r="AF42">
        <v>5</v>
      </c>
    </row>
    <row r="43" spans="1:38" x14ac:dyDescent="0.35">
      <c r="A43" t="s">
        <v>43</v>
      </c>
      <c r="B43" t="s">
        <v>104</v>
      </c>
      <c r="C43">
        <v>26</v>
      </c>
      <c r="D43">
        <v>13</v>
      </c>
      <c r="F43">
        <v>11</v>
      </c>
      <c r="G43">
        <v>17</v>
      </c>
      <c r="H43">
        <v>205</v>
      </c>
      <c r="I43">
        <v>83</v>
      </c>
      <c r="K43">
        <v>596</v>
      </c>
      <c r="L43">
        <v>647</v>
      </c>
      <c r="M43">
        <v>181</v>
      </c>
      <c r="O43">
        <v>8</v>
      </c>
      <c r="P43" t="e">
        <f t="shared" ca="1" si="1"/>
        <v>#NAME?</v>
      </c>
      <c r="Q43" s="1">
        <v>0.3825503355704698</v>
      </c>
      <c r="R43">
        <v>2.9073170731707321</v>
      </c>
      <c r="S43">
        <v>7.7951807228915664</v>
      </c>
      <c r="T43">
        <v>23</v>
      </c>
      <c r="U43">
        <v>0</v>
      </c>
      <c r="V43">
        <v>0</v>
      </c>
      <c r="W43">
        <v>0</v>
      </c>
      <c r="X43">
        <v>45</v>
      </c>
      <c r="Y43">
        <v>0</v>
      </c>
      <c r="Z43">
        <v>0</v>
      </c>
      <c r="AA43" t="s">
        <v>114</v>
      </c>
      <c r="AB43" t="s">
        <v>184</v>
      </c>
      <c r="AC43" s="2">
        <v>0.94599999999999995</v>
      </c>
      <c r="AD43" t="s">
        <v>239</v>
      </c>
      <c r="AE43" s="2">
        <v>0.03</v>
      </c>
      <c r="AF43">
        <v>9</v>
      </c>
      <c r="AL43">
        <v>1</v>
      </c>
    </row>
    <row r="44" spans="1:38" x14ac:dyDescent="0.35">
      <c r="A44" t="s">
        <v>76</v>
      </c>
      <c r="B44" t="s">
        <v>104</v>
      </c>
      <c r="C44">
        <v>25</v>
      </c>
      <c r="D44">
        <v>14</v>
      </c>
      <c r="F44">
        <v>22</v>
      </c>
      <c r="G44">
        <v>14</v>
      </c>
      <c r="H44">
        <v>127</v>
      </c>
      <c r="I44">
        <v>32</v>
      </c>
      <c r="K44">
        <v>658</v>
      </c>
      <c r="L44">
        <v>45</v>
      </c>
      <c r="M44">
        <v>158</v>
      </c>
      <c r="O44">
        <v>16</v>
      </c>
      <c r="P44" t="e">
        <f t="shared" ca="1" si="1"/>
        <v>#NAME?</v>
      </c>
      <c r="Q44" s="1">
        <v>0.8277439024390244</v>
      </c>
      <c r="R44">
        <v>5.1811023622047241</v>
      </c>
      <c r="S44">
        <v>1.40625</v>
      </c>
      <c r="T44">
        <v>23</v>
      </c>
      <c r="U44">
        <v>1</v>
      </c>
      <c r="V44">
        <v>0</v>
      </c>
      <c r="W44">
        <v>0</v>
      </c>
      <c r="X44">
        <v>1</v>
      </c>
      <c r="Y44">
        <v>0</v>
      </c>
      <c r="Z44">
        <v>0</v>
      </c>
      <c r="AA44" t="s">
        <v>147</v>
      </c>
      <c r="AB44" t="s">
        <v>196</v>
      </c>
      <c r="AC44" s="2">
        <v>1</v>
      </c>
      <c r="AD44" t="s">
        <v>242</v>
      </c>
      <c r="AE44" s="2">
        <v>0</v>
      </c>
      <c r="AF44">
        <v>1</v>
      </c>
      <c r="AL44">
        <v>1</v>
      </c>
    </row>
    <row r="45" spans="1:38" x14ac:dyDescent="0.35">
      <c r="A45" t="s">
        <v>52</v>
      </c>
      <c r="B45" t="s">
        <v>104</v>
      </c>
      <c r="C45">
        <v>16</v>
      </c>
      <c r="D45">
        <v>14</v>
      </c>
      <c r="F45">
        <v>16</v>
      </c>
      <c r="G45">
        <v>15</v>
      </c>
      <c r="H45">
        <v>72</v>
      </c>
      <c r="I45">
        <v>27</v>
      </c>
      <c r="K45">
        <v>361</v>
      </c>
      <c r="L45">
        <v>59</v>
      </c>
      <c r="M45">
        <v>89</v>
      </c>
      <c r="O45">
        <v>11</v>
      </c>
      <c r="P45" t="e">
        <f t="shared" ca="1" si="1"/>
        <v>#NAME?</v>
      </c>
      <c r="Q45" s="1">
        <v>0.40607734806629842</v>
      </c>
      <c r="R45">
        <v>5.0138888888888893</v>
      </c>
      <c r="S45">
        <v>2.1851851851851851</v>
      </c>
      <c r="T45">
        <v>13</v>
      </c>
      <c r="U45">
        <v>0</v>
      </c>
      <c r="V45">
        <v>0</v>
      </c>
      <c r="W45">
        <v>0</v>
      </c>
      <c r="X45">
        <v>10</v>
      </c>
      <c r="Y45">
        <v>2</v>
      </c>
      <c r="Z45">
        <v>0</v>
      </c>
      <c r="AA45" t="s">
        <v>123</v>
      </c>
      <c r="AB45" t="s">
        <v>193</v>
      </c>
      <c r="AC45" s="2">
        <v>0.89200000000000002</v>
      </c>
      <c r="AD45" t="s">
        <v>236</v>
      </c>
      <c r="AE45" s="2">
        <v>7.0999999999999994E-2</v>
      </c>
      <c r="AF45">
        <v>4</v>
      </c>
      <c r="AJ45" t="s">
        <v>270</v>
      </c>
      <c r="AK45">
        <v>1</v>
      </c>
    </row>
    <row r="46" spans="1:38" x14ac:dyDescent="0.35">
      <c r="A46" t="s">
        <v>86</v>
      </c>
      <c r="B46" t="s">
        <v>104</v>
      </c>
      <c r="C46">
        <v>28</v>
      </c>
      <c r="D46">
        <v>5</v>
      </c>
      <c r="F46">
        <v>26</v>
      </c>
      <c r="G46">
        <v>34</v>
      </c>
      <c r="H46">
        <v>242</v>
      </c>
      <c r="I46">
        <v>719</v>
      </c>
      <c r="K46">
        <v>1445</v>
      </c>
      <c r="L46">
        <v>1338</v>
      </c>
      <c r="M46">
        <v>271</v>
      </c>
      <c r="O46">
        <v>19</v>
      </c>
      <c r="P46" t="e">
        <f t="shared" ca="1" si="1"/>
        <v>#NAME?</v>
      </c>
      <c r="Q46" s="1">
        <v>0.25759668508287292</v>
      </c>
      <c r="R46">
        <v>5.9710743801652892</v>
      </c>
      <c r="S46">
        <v>1.860917941585535</v>
      </c>
      <c r="T46">
        <v>21</v>
      </c>
      <c r="U46">
        <v>14</v>
      </c>
      <c r="V46">
        <v>3</v>
      </c>
      <c r="W46">
        <v>3</v>
      </c>
      <c r="X46">
        <v>23</v>
      </c>
      <c r="Y46">
        <v>1</v>
      </c>
      <c r="Z46">
        <v>0</v>
      </c>
      <c r="AA46" t="s">
        <v>157</v>
      </c>
      <c r="AB46" t="s">
        <v>218</v>
      </c>
      <c r="AC46" s="2">
        <v>0.95099999999999996</v>
      </c>
      <c r="AD46" t="s">
        <v>240</v>
      </c>
      <c r="AE46" s="2">
        <v>3.7999999999999999E-2</v>
      </c>
      <c r="AF46">
        <v>3</v>
      </c>
    </row>
    <row r="47" spans="1:38" x14ac:dyDescent="0.35">
      <c r="A47" t="s">
        <v>79</v>
      </c>
      <c r="B47" t="s">
        <v>104</v>
      </c>
      <c r="C47">
        <v>21</v>
      </c>
      <c r="D47">
        <v>5</v>
      </c>
      <c r="F47">
        <v>6</v>
      </c>
      <c r="G47">
        <v>17</v>
      </c>
      <c r="H47">
        <v>112</v>
      </c>
      <c r="I47">
        <v>69</v>
      </c>
      <c r="K47">
        <v>217</v>
      </c>
      <c r="L47">
        <v>135</v>
      </c>
      <c r="M47">
        <v>114</v>
      </c>
      <c r="O47">
        <v>17</v>
      </c>
      <c r="P47" t="e">
        <f t="shared" ca="1" si="1"/>
        <v>#NAME?</v>
      </c>
      <c r="Q47" s="1">
        <v>0.83410138248847931</v>
      </c>
      <c r="R47">
        <v>1.9375</v>
      </c>
      <c r="S47">
        <v>1.956521739130435</v>
      </c>
      <c r="T47">
        <v>17</v>
      </c>
      <c r="U47">
        <v>1</v>
      </c>
      <c r="V47">
        <v>0</v>
      </c>
      <c r="W47">
        <v>0</v>
      </c>
      <c r="X47">
        <v>25</v>
      </c>
      <c r="Y47">
        <v>0</v>
      </c>
      <c r="Z47">
        <v>0</v>
      </c>
      <c r="AA47" t="s">
        <v>150</v>
      </c>
      <c r="AB47" t="s">
        <v>196</v>
      </c>
      <c r="AC47" s="2">
        <v>1</v>
      </c>
      <c r="AD47" t="s">
        <v>242</v>
      </c>
      <c r="AE47" s="2">
        <v>0</v>
      </c>
      <c r="AF47">
        <v>1</v>
      </c>
    </row>
    <row r="48" spans="1:38" x14ac:dyDescent="0.35">
      <c r="A48" t="s">
        <v>57</v>
      </c>
      <c r="B48" t="s">
        <v>104</v>
      </c>
      <c r="C48">
        <v>28</v>
      </c>
      <c r="D48">
        <v>5</v>
      </c>
      <c r="F48">
        <v>16</v>
      </c>
      <c r="G48">
        <v>18</v>
      </c>
      <c r="H48">
        <v>238</v>
      </c>
      <c r="I48">
        <v>119</v>
      </c>
      <c r="K48">
        <v>1509</v>
      </c>
      <c r="L48">
        <v>566</v>
      </c>
      <c r="M48">
        <v>208</v>
      </c>
      <c r="O48">
        <v>13</v>
      </c>
      <c r="P48" t="e">
        <f t="shared" ca="1" si="1"/>
        <v>#NAME?</v>
      </c>
      <c r="Q48" s="1">
        <v>0.86944996686547382</v>
      </c>
      <c r="R48">
        <v>6.3403361344537812</v>
      </c>
      <c r="S48">
        <v>4.7563025210084033</v>
      </c>
      <c r="T48">
        <v>21</v>
      </c>
      <c r="U48">
        <v>0</v>
      </c>
      <c r="V48">
        <v>0</v>
      </c>
      <c r="W48">
        <v>0</v>
      </c>
      <c r="X48">
        <v>1</v>
      </c>
      <c r="Y48">
        <v>1</v>
      </c>
      <c r="Z48">
        <v>0</v>
      </c>
      <c r="AA48" t="s">
        <v>128</v>
      </c>
      <c r="AB48" t="s">
        <v>198</v>
      </c>
      <c r="AC48" s="2">
        <v>0.97799999999999998</v>
      </c>
      <c r="AD48" t="s">
        <v>241</v>
      </c>
      <c r="AE48" s="2">
        <v>9.0000000000000011E-3</v>
      </c>
      <c r="AF48">
        <v>6</v>
      </c>
    </row>
    <row r="49" spans="1:38" x14ac:dyDescent="0.35">
      <c r="A49" t="s">
        <v>78</v>
      </c>
      <c r="B49" t="s">
        <v>104</v>
      </c>
      <c r="C49">
        <v>17</v>
      </c>
      <c r="D49">
        <v>21</v>
      </c>
      <c r="F49">
        <v>8</v>
      </c>
      <c r="G49">
        <v>16</v>
      </c>
      <c r="H49">
        <v>158</v>
      </c>
      <c r="I49">
        <v>40</v>
      </c>
      <c r="K49">
        <v>435</v>
      </c>
      <c r="L49">
        <v>79</v>
      </c>
      <c r="M49">
        <v>99</v>
      </c>
      <c r="O49">
        <v>17</v>
      </c>
      <c r="P49" t="e">
        <f t="shared" ca="1" si="1"/>
        <v>#NAME?</v>
      </c>
      <c r="Q49" s="1">
        <v>0.8669724770642202</v>
      </c>
      <c r="R49">
        <v>2.7531645569620249</v>
      </c>
      <c r="S49">
        <v>1.9750000000000001</v>
      </c>
      <c r="T49">
        <v>7</v>
      </c>
      <c r="U49">
        <v>132</v>
      </c>
      <c r="V49">
        <v>2</v>
      </c>
      <c r="W49">
        <v>2</v>
      </c>
      <c r="X49">
        <v>4540</v>
      </c>
      <c r="Y49">
        <v>0</v>
      </c>
      <c r="Z49">
        <v>0</v>
      </c>
      <c r="AA49" t="s">
        <v>149</v>
      </c>
      <c r="AB49" t="s">
        <v>196</v>
      </c>
      <c r="AC49" s="2">
        <v>1</v>
      </c>
      <c r="AD49" t="s">
        <v>242</v>
      </c>
      <c r="AE49" s="2">
        <v>0</v>
      </c>
      <c r="AF49">
        <v>1</v>
      </c>
      <c r="AJ49" t="s">
        <v>271</v>
      </c>
    </row>
    <row r="50" spans="1:38" x14ac:dyDescent="0.35">
      <c r="A50" t="s">
        <v>85</v>
      </c>
      <c r="B50" t="s">
        <v>104</v>
      </c>
      <c r="C50">
        <v>22</v>
      </c>
      <c r="D50">
        <v>5</v>
      </c>
      <c r="F50">
        <v>5</v>
      </c>
      <c r="G50">
        <v>13</v>
      </c>
      <c r="H50">
        <v>75</v>
      </c>
      <c r="I50">
        <v>41</v>
      </c>
      <c r="K50">
        <v>316</v>
      </c>
      <c r="L50">
        <v>63</v>
      </c>
      <c r="M50">
        <v>80</v>
      </c>
      <c r="O50">
        <v>19</v>
      </c>
      <c r="P50" t="e">
        <f t="shared" ca="1" si="1"/>
        <v>#NAME?</v>
      </c>
      <c r="Q50" s="1">
        <v>0.31428571428571428</v>
      </c>
      <c r="R50">
        <v>4.2133333333333329</v>
      </c>
      <c r="S50">
        <v>1.536585365853659</v>
      </c>
      <c r="T50">
        <v>12</v>
      </c>
      <c r="U50">
        <v>0</v>
      </c>
      <c r="V50">
        <v>0</v>
      </c>
      <c r="W50">
        <v>0</v>
      </c>
      <c r="X50">
        <v>1</v>
      </c>
      <c r="Y50">
        <v>2</v>
      </c>
      <c r="Z50">
        <v>0</v>
      </c>
      <c r="AA50" t="s">
        <v>156</v>
      </c>
      <c r="AB50" t="s">
        <v>196</v>
      </c>
      <c r="AC50" s="2">
        <v>1</v>
      </c>
      <c r="AD50" t="s">
        <v>242</v>
      </c>
      <c r="AE50" s="2">
        <v>0</v>
      </c>
      <c r="AF50">
        <v>1</v>
      </c>
    </row>
    <row r="51" spans="1:38" x14ac:dyDescent="0.35">
      <c r="A51" t="s">
        <v>77</v>
      </c>
      <c r="B51" t="s">
        <v>104</v>
      </c>
      <c r="C51">
        <v>27</v>
      </c>
      <c r="D51">
        <v>6</v>
      </c>
      <c r="F51">
        <v>16</v>
      </c>
      <c r="G51">
        <v>16</v>
      </c>
      <c r="H51">
        <v>131</v>
      </c>
      <c r="I51">
        <v>40</v>
      </c>
      <c r="K51">
        <v>388</v>
      </c>
      <c r="L51">
        <v>254</v>
      </c>
      <c r="M51">
        <v>130</v>
      </c>
      <c r="O51">
        <v>16</v>
      </c>
      <c r="P51" t="e">
        <f t="shared" ca="1" si="1"/>
        <v>#NAME?</v>
      </c>
      <c r="Q51" s="1">
        <v>0.7109375</v>
      </c>
      <c r="R51">
        <v>2.9618320610687019</v>
      </c>
      <c r="S51">
        <v>6.35</v>
      </c>
      <c r="T51">
        <v>19</v>
      </c>
      <c r="U51">
        <v>1</v>
      </c>
      <c r="V51">
        <v>0</v>
      </c>
      <c r="W51">
        <v>0</v>
      </c>
      <c r="X51">
        <v>0</v>
      </c>
      <c r="Y51">
        <v>2</v>
      </c>
      <c r="Z51">
        <v>0</v>
      </c>
      <c r="AA51" t="s">
        <v>148</v>
      </c>
      <c r="AB51" t="s">
        <v>213</v>
      </c>
      <c r="AC51" s="2">
        <v>0.98799999999999999</v>
      </c>
      <c r="AD51" t="s">
        <v>243</v>
      </c>
      <c r="AE51" s="2">
        <v>1.0999999999999999E-2</v>
      </c>
      <c r="AF51">
        <v>2</v>
      </c>
    </row>
    <row r="52" spans="1:38" x14ac:dyDescent="0.35">
      <c r="A52" t="s">
        <v>49</v>
      </c>
      <c r="B52" t="s">
        <v>104</v>
      </c>
      <c r="C52">
        <v>12</v>
      </c>
      <c r="D52">
        <v>5</v>
      </c>
      <c r="F52">
        <v>20</v>
      </c>
      <c r="G52">
        <v>17</v>
      </c>
      <c r="H52">
        <v>139</v>
      </c>
      <c r="I52">
        <v>318</v>
      </c>
      <c r="K52">
        <v>530</v>
      </c>
      <c r="L52">
        <v>383</v>
      </c>
      <c r="M52">
        <v>160</v>
      </c>
      <c r="O52">
        <v>11</v>
      </c>
      <c r="P52" t="e">
        <f t="shared" ca="1" si="1"/>
        <v>#NAME?</v>
      </c>
      <c r="Q52" s="1">
        <v>0.29678638941398872</v>
      </c>
      <c r="R52">
        <v>3.8129496402877701</v>
      </c>
      <c r="S52">
        <v>1.2044025157232709</v>
      </c>
      <c r="T52">
        <v>9</v>
      </c>
      <c r="U52">
        <v>0</v>
      </c>
      <c r="V52">
        <v>0</v>
      </c>
      <c r="W52">
        <v>0</v>
      </c>
      <c r="X52">
        <v>1</v>
      </c>
      <c r="Y52">
        <v>0</v>
      </c>
      <c r="Z52">
        <v>0</v>
      </c>
      <c r="AA52" t="s">
        <v>120</v>
      </c>
      <c r="AB52" t="s">
        <v>190</v>
      </c>
      <c r="AC52" s="2">
        <v>0.93799999999999994</v>
      </c>
      <c r="AD52" t="s">
        <v>241</v>
      </c>
      <c r="AE52" s="2">
        <v>2.1000000000000001E-2</v>
      </c>
      <c r="AF52">
        <v>6</v>
      </c>
    </row>
    <row r="53" spans="1:38" x14ac:dyDescent="0.35">
      <c r="A53" t="s">
        <v>75</v>
      </c>
      <c r="B53" t="s">
        <v>104</v>
      </c>
      <c r="C53">
        <v>18</v>
      </c>
      <c r="D53">
        <v>8</v>
      </c>
      <c r="F53">
        <v>10</v>
      </c>
      <c r="G53">
        <v>15</v>
      </c>
      <c r="H53">
        <v>68</v>
      </c>
      <c r="I53">
        <v>49</v>
      </c>
      <c r="K53">
        <v>107</v>
      </c>
      <c r="L53">
        <v>70</v>
      </c>
      <c r="M53">
        <v>68</v>
      </c>
      <c r="O53">
        <v>16</v>
      </c>
      <c r="P53" t="e">
        <f t="shared" ca="1" si="1"/>
        <v>#NAME?</v>
      </c>
      <c r="Q53" s="1">
        <v>0.79439252336448596</v>
      </c>
      <c r="R53">
        <v>1.5735294117647061</v>
      </c>
      <c r="S53">
        <v>1.428571428571429</v>
      </c>
      <c r="T53">
        <v>11</v>
      </c>
      <c r="U53">
        <v>0</v>
      </c>
      <c r="V53">
        <v>0</v>
      </c>
      <c r="W53">
        <v>0</v>
      </c>
      <c r="X53">
        <v>2</v>
      </c>
      <c r="Y53">
        <v>0</v>
      </c>
      <c r="Z53">
        <v>0</v>
      </c>
      <c r="AA53" t="s">
        <v>146</v>
      </c>
      <c r="AB53" t="s">
        <v>196</v>
      </c>
      <c r="AC53" s="2">
        <v>1</v>
      </c>
      <c r="AD53" t="s">
        <v>242</v>
      </c>
      <c r="AE53" s="2">
        <v>0</v>
      </c>
      <c r="AF53">
        <v>1</v>
      </c>
    </row>
    <row r="54" spans="1:38" x14ac:dyDescent="0.35">
      <c r="A54" t="s">
        <v>55</v>
      </c>
      <c r="B54" t="s">
        <v>104</v>
      </c>
      <c r="C54">
        <v>20</v>
      </c>
      <c r="D54">
        <v>10</v>
      </c>
      <c r="F54">
        <v>12</v>
      </c>
      <c r="G54">
        <v>12</v>
      </c>
      <c r="H54">
        <v>123</v>
      </c>
      <c r="I54">
        <v>25</v>
      </c>
      <c r="K54">
        <v>188</v>
      </c>
      <c r="L54">
        <v>41</v>
      </c>
      <c r="M54">
        <v>96</v>
      </c>
      <c r="O54">
        <v>12</v>
      </c>
      <c r="P54" t="e">
        <f t="shared" ca="1" si="1"/>
        <v>#NAME?</v>
      </c>
      <c r="Q54" s="1">
        <v>0.82978723404255317</v>
      </c>
      <c r="R54">
        <v>1.5284552845528461</v>
      </c>
      <c r="S54">
        <v>1.64</v>
      </c>
      <c r="T54">
        <v>18</v>
      </c>
      <c r="U54">
        <v>0</v>
      </c>
      <c r="V54">
        <v>0</v>
      </c>
      <c r="W54">
        <v>0</v>
      </c>
      <c r="X54">
        <v>43</v>
      </c>
      <c r="Y54">
        <v>2</v>
      </c>
      <c r="Z54">
        <v>0</v>
      </c>
      <c r="AA54" t="s">
        <v>126</v>
      </c>
      <c r="AB54" t="s">
        <v>196</v>
      </c>
      <c r="AC54" s="2">
        <v>1</v>
      </c>
      <c r="AD54" t="s">
        <v>242</v>
      </c>
      <c r="AE54" s="2">
        <v>0</v>
      </c>
      <c r="AF54">
        <v>1</v>
      </c>
      <c r="AL54">
        <v>1</v>
      </c>
    </row>
    <row r="55" spans="1:38" x14ac:dyDescent="0.35">
      <c r="A55" t="s">
        <v>101</v>
      </c>
      <c r="B55" t="s">
        <v>104</v>
      </c>
      <c r="C55">
        <v>17</v>
      </c>
      <c r="D55">
        <v>5</v>
      </c>
      <c r="F55">
        <v>5</v>
      </c>
      <c r="G55">
        <v>14</v>
      </c>
      <c r="H55">
        <v>105</v>
      </c>
      <c r="I55">
        <v>50</v>
      </c>
      <c r="K55">
        <v>799</v>
      </c>
      <c r="L55">
        <v>251</v>
      </c>
      <c r="M55">
        <v>91</v>
      </c>
      <c r="O55">
        <v>27</v>
      </c>
      <c r="P55" t="e">
        <f t="shared" ca="1" si="1"/>
        <v>#NAME?</v>
      </c>
      <c r="Q55" s="1">
        <v>0.89097744360902253</v>
      </c>
      <c r="R55">
        <v>7.6095238095238091</v>
      </c>
      <c r="S55">
        <v>5.0199999999999996</v>
      </c>
      <c r="T55">
        <v>16</v>
      </c>
      <c r="U55">
        <v>1</v>
      </c>
      <c r="V55">
        <v>0</v>
      </c>
      <c r="W55">
        <v>0</v>
      </c>
      <c r="X55">
        <v>1</v>
      </c>
      <c r="Y55">
        <v>0</v>
      </c>
      <c r="Z55">
        <v>1</v>
      </c>
      <c r="AA55" t="s">
        <v>172</v>
      </c>
      <c r="AB55" t="s">
        <v>231</v>
      </c>
      <c r="AC55" s="2">
        <v>0.90900000000000003</v>
      </c>
      <c r="AD55" t="s">
        <v>239</v>
      </c>
      <c r="AE55" s="2">
        <v>6.4000000000000001E-2</v>
      </c>
      <c r="AF55">
        <v>8</v>
      </c>
    </row>
    <row r="56" spans="1:38" x14ac:dyDescent="0.35">
      <c r="A56" t="s">
        <v>72</v>
      </c>
      <c r="B56" t="s">
        <v>104</v>
      </c>
      <c r="C56">
        <v>19</v>
      </c>
      <c r="D56">
        <v>9</v>
      </c>
      <c r="F56">
        <v>7</v>
      </c>
      <c r="G56">
        <v>16</v>
      </c>
      <c r="H56">
        <v>139</v>
      </c>
      <c r="I56">
        <v>60</v>
      </c>
      <c r="K56">
        <v>751</v>
      </c>
      <c r="L56">
        <v>118</v>
      </c>
      <c r="M56">
        <v>127</v>
      </c>
      <c r="O56">
        <v>15</v>
      </c>
      <c r="P56" t="e">
        <f t="shared" ca="1" si="1"/>
        <v>#NAME?</v>
      </c>
      <c r="Q56" s="1">
        <v>0.38348868175765638</v>
      </c>
      <c r="R56">
        <v>5.4028776978417268</v>
      </c>
      <c r="S56">
        <v>1.966666666666667</v>
      </c>
      <c r="T56">
        <v>12</v>
      </c>
      <c r="U56">
        <v>0</v>
      </c>
      <c r="V56">
        <v>0</v>
      </c>
      <c r="W56">
        <v>0</v>
      </c>
      <c r="X56">
        <v>86</v>
      </c>
      <c r="Y56">
        <v>0</v>
      </c>
      <c r="Z56">
        <v>0</v>
      </c>
      <c r="AA56" t="s">
        <v>143</v>
      </c>
      <c r="AB56" t="s">
        <v>211</v>
      </c>
      <c r="AC56" s="2">
        <v>9.5000000000000001E-2</v>
      </c>
      <c r="AD56" t="s">
        <v>239</v>
      </c>
      <c r="AE56" s="2">
        <v>0.80799999999999994</v>
      </c>
      <c r="AF56">
        <v>4</v>
      </c>
    </row>
    <row r="57" spans="1:38" x14ac:dyDescent="0.35">
      <c r="A57" t="s">
        <v>71</v>
      </c>
      <c r="B57" t="s">
        <v>104</v>
      </c>
      <c r="C57">
        <v>19</v>
      </c>
      <c r="D57">
        <v>6</v>
      </c>
      <c r="F57">
        <v>8</v>
      </c>
      <c r="G57">
        <v>18</v>
      </c>
      <c r="H57">
        <v>532</v>
      </c>
      <c r="I57">
        <v>229</v>
      </c>
      <c r="K57">
        <v>1248</v>
      </c>
      <c r="L57">
        <v>421</v>
      </c>
      <c r="M57">
        <v>435</v>
      </c>
      <c r="O57">
        <v>15</v>
      </c>
      <c r="P57" t="e">
        <f t="shared" ca="1" si="1"/>
        <v>#NAME?</v>
      </c>
      <c r="Q57" s="1">
        <v>0.59101844426623895</v>
      </c>
      <c r="R57">
        <v>2.3458646616541352</v>
      </c>
      <c r="S57">
        <v>1.838427947598253</v>
      </c>
      <c r="T57">
        <v>7</v>
      </c>
      <c r="U57">
        <v>0</v>
      </c>
      <c r="V57">
        <v>0</v>
      </c>
      <c r="W57">
        <v>0</v>
      </c>
      <c r="X57">
        <v>54</v>
      </c>
      <c r="Y57">
        <v>0</v>
      </c>
      <c r="Z57">
        <v>0</v>
      </c>
      <c r="AA57" t="s">
        <v>142</v>
      </c>
      <c r="AB57" t="s">
        <v>210</v>
      </c>
      <c r="AC57" s="2">
        <v>0.96799999999999997</v>
      </c>
      <c r="AD57" t="s">
        <v>234</v>
      </c>
      <c r="AE57" s="2">
        <v>2.3E-2</v>
      </c>
      <c r="AF57">
        <v>4</v>
      </c>
    </row>
    <row r="58" spans="1:38" x14ac:dyDescent="0.35">
      <c r="A58" t="s">
        <v>51</v>
      </c>
      <c r="B58" t="s">
        <v>104</v>
      </c>
      <c r="C58">
        <v>41</v>
      </c>
      <c r="D58">
        <v>5</v>
      </c>
      <c r="F58">
        <v>11</v>
      </c>
      <c r="G58">
        <v>19</v>
      </c>
      <c r="H58">
        <v>270</v>
      </c>
      <c r="I58">
        <v>150</v>
      </c>
      <c r="K58">
        <v>5514</v>
      </c>
      <c r="L58">
        <v>1474</v>
      </c>
      <c r="M58">
        <v>306</v>
      </c>
      <c r="O58">
        <v>11</v>
      </c>
      <c r="P58" t="e">
        <f t="shared" ca="1" si="1"/>
        <v>#NAME?</v>
      </c>
      <c r="Q58" s="1">
        <v>0.93737520421129061</v>
      </c>
      <c r="R58">
        <v>20.422222222222221</v>
      </c>
      <c r="S58">
        <v>9.8266666666666662</v>
      </c>
      <c r="T58">
        <v>15</v>
      </c>
      <c r="U58">
        <v>0</v>
      </c>
      <c r="V58">
        <v>0</v>
      </c>
      <c r="W58">
        <v>0</v>
      </c>
      <c r="X58">
        <v>1</v>
      </c>
      <c r="Y58">
        <v>0</v>
      </c>
      <c r="Z58">
        <v>0</v>
      </c>
      <c r="AA58" t="s">
        <v>122</v>
      </c>
      <c r="AB58" t="s">
        <v>192</v>
      </c>
      <c r="AC58" s="2">
        <v>0.995</v>
      </c>
      <c r="AD58" t="s">
        <v>242</v>
      </c>
      <c r="AE58" s="2">
        <v>0</v>
      </c>
      <c r="AF58">
        <v>1</v>
      </c>
    </row>
    <row r="59" spans="1:38" x14ac:dyDescent="0.35">
      <c r="A59" t="s">
        <v>61</v>
      </c>
      <c r="B59" t="s">
        <v>104</v>
      </c>
      <c r="C59">
        <v>26</v>
      </c>
      <c r="D59">
        <v>24</v>
      </c>
      <c r="F59">
        <v>25</v>
      </c>
      <c r="G59">
        <v>18</v>
      </c>
      <c r="H59">
        <v>142</v>
      </c>
      <c r="I59">
        <v>61</v>
      </c>
      <c r="K59">
        <v>1895</v>
      </c>
      <c r="L59">
        <v>620</v>
      </c>
      <c r="M59">
        <v>152</v>
      </c>
      <c r="O59">
        <v>13</v>
      </c>
      <c r="P59" t="e">
        <f t="shared" ca="1" si="1"/>
        <v>#NAME?</v>
      </c>
      <c r="Q59" s="1">
        <v>0.98047493403693931</v>
      </c>
      <c r="R59">
        <v>13.34507042253521</v>
      </c>
      <c r="S59">
        <v>10.16393442622951</v>
      </c>
      <c r="T59">
        <v>23</v>
      </c>
      <c r="U59">
        <v>0</v>
      </c>
      <c r="V59">
        <v>0</v>
      </c>
      <c r="W59">
        <v>0</v>
      </c>
      <c r="X59">
        <v>98</v>
      </c>
      <c r="Y59">
        <v>2</v>
      </c>
      <c r="Z59">
        <v>0</v>
      </c>
      <c r="AA59" t="s">
        <v>132</v>
      </c>
      <c r="AB59" t="s">
        <v>200</v>
      </c>
      <c r="AC59" s="2">
        <v>0.998</v>
      </c>
      <c r="AD59" t="s">
        <v>240</v>
      </c>
      <c r="AE59" s="2">
        <v>1E-3</v>
      </c>
      <c r="AF59">
        <v>2</v>
      </c>
      <c r="AL59">
        <v>1</v>
      </c>
    </row>
    <row r="60" spans="1:38" x14ac:dyDescent="0.35">
      <c r="A60" t="s">
        <v>48</v>
      </c>
      <c r="B60" t="s">
        <v>104</v>
      </c>
      <c r="C60">
        <v>21</v>
      </c>
      <c r="D60">
        <v>5</v>
      </c>
      <c r="F60">
        <v>7</v>
      </c>
      <c r="G60">
        <v>17</v>
      </c>
      <c r="H60">
        <v>108</v>
      </c>
      <c r="I60">
        <v>79</v>
      </c>
      <c r="K60">
        <v>1003</v>
      </c>
      <c r="L60">
        <v>162</v>
      </c>
      <c r="M60">
        <v>128</v>
      </c>
      <c r="O60">
        <v>10</v>
      </c>
      <c r="P60" t="e">
        <f t="shared" ca="1" si="1"/>
        <v>#NAME?</v>
      </c>
      <c r="Q60" s="1">
        <v>0.59255533199195176</v>
      </c>
      <c r="R60">
        <v>9.2870370370370363</v>
      </c>
      <c r="S60">
        <v>2.0506329113924049</v>
      </c>
      <c r="T60">
        <v>7</v>
      </c>
      <c r="U60">
        <v>34</v>
      </c>
      <c r="V60">
        <v>2</v>
      </c>
      <c r="W60">
        <v>2</v>
      </c>
      <c r="X60">
        <v>3</v>
      </c>
      <c r="Z60">
        <v>0</v>
      </c>
      <c r="AA60" t="s">
        <v>119</v>
      </c>
      <c r="AB60" t="s">
        <v>189</v>
      </c>
      <c r="AC60" s="2">
        <v>0.66799999999999993</v>
      </c>
      <c r="AD60" t="s">
        <v>239</v>
      </c>
      <c r="AE60" s="2">
        <v>0.312</v>
      </c>
      <c r="AF60">
        <v>5</v>
      </c>
    </row>
    <row r="61" spans="1:38" s="7" customFormat="1" x14ac:dyDescent="0.35">
      <c r="A61" s="7" t="s">
        <v>65</v>
      </c>
      <c r="B61" s="7" t="s">
        <v>104</v>
      </c>
      <c r="C61" s="7">
        <v>16</v>
      </c>
      <c r="D61" s="7">
        <v>11</v>
      </c>
      <c r="F61" s="7">
        <v>10</v>
      </c>
      <c r="G61" s="7">
        <v>14</v>
      </c>
      <c r="H61" s="7">
        <v>138</v>
      </c>
      <c r="I61" s="7">
        <v>65</v>
      </c>
      <c r="K61" s="7">
        <v>203</v>
      </c>
      <c r="L61" s="7">
        <v>104</v>
      </c>
      <c r="M61" s="7">
        <v>142</v>
      </c>
      <c r="O61" s="7">
        <v>13</v>
      </c>
      <c r="P61" s="7" t="e">
        <f t="shared" ca="1" si="1"/>
        <v>#NAME?</v>
      </c>
      <c r="Q61" s="8">
        <v>0.65517241379310343</v>
      </c>
      <c r="R61" s="7">
        <v>1.4710144927536231</v>
      </c>
      <c r="S61" s="7">
        <v>1.6</v>
      </c>
      <c r="T61" s="7">
        <v>8</v>
      </c>
      <c r="U61" s="7">
        <v>5</v>
      </c>
      <c r="V61" s="7">
        <v>4</v>
      </c>
      <c r="W61" s="7">
        <v>3</v>
      </c>
      <c r="X61" s="7">
        <v>10</v>
      </c>
      <c r="Y61" s="7">
        <v>6</v>
      </c>
      <c r="Z61" s="7">
        <v>0</v>
      </c>
      <c r="AA61" s="7" t="s">
        <v>136</v>
      </c>
      <c r="AB61" s="7" t="s">
        <v>204</v>
      </c>
      <c r="AC61" s="9">
        <v>0.89599999999999991</v>
      </c>
      <c r="AD61" s="7" t="s">
        <v>241</v>
      </c>
      <c r="AE61" s="9">
        <v>6.8000000000000005E-2</v>
      </c>
      <c r="AF61" s="7">
        <v>3</v>
      </c>
      <c r="AJ61" s="7" t="s">
        <v>273</v>
      </c>
    </row>
    <row r="62" spans="1:38" s="7" customFormat="1" x14ac:dyDescent="0.35">
      <c r="A62" s="7" t="s">
        <v>47</v>
      </c>
      <c r="B62" s="7" t="s">
        <v>104</v>
      </c>
      <c r="C62" s="7">
        <v>32</v>
      </c>
      <c r="D62" s="7">
        <v>13</v>
      </c>
      <c r="F62" s="7">
        <v>11</v>
      </c>
      <c r="G62" s="7">
        <v>16</v>
      </c>
      <c r="H62" s="7">
        <v>172</v>
      </c>
      <c r="I62" s="7">
        <v>92</v>
      </c>
      <c r="K62" s="7">
        <v>788</v>
      </c>
      <c r="L62" s="7">
        <v>122</v>
      </c>
      <c r="M62" s="7">
        <v>173</v>
      </c>
      <c r="O62" s="7">
        <v>10</v>
      </c>
      <c r="P62" s="7" t="e">
        <f t="shared" ca="1" si="1"/>
        <v>#NAME?</v>
      </c>
      <c r="Q62" s="8">
        <v>0.69554140127388531</v>
      </c>
      <c r="R62" s="7">
        <v>4.5813953488372086</v>
      </c>
      <c r="S62" s="7">
        <v>1.326086956521739</v>
      </c>
      <c r="T62" s="7">
        <v>25</v>
      </c>
      <c r="U62" s="7">
        <v>0</v>
      </c>
      <c r="V62" s="7">
        <v>0</v>
      </c>
      <c r="W62" s="7">
        <v>0</v>
      </c>
      <c r="X62" s="7">
        <v>86</v>
      </c>
      <c r="Y62" s="7">
        <v>0</v>
      </c>
      <c r="Z62" s="7">
        <v>0</v>
      </c>
      <c r="AA62" s="7" t="s">
        <v>118</v>
      </c>
      <c r="AB62" s="7" t="s">
        <v>188</v>
      </c>
      <c r="AC62" s="9">
        <v>0.70299999999999996</v>
      </c>
      <c r="AD62" s="7" t="s">
        <v>237</v>
      </c>
      <c r="AE62" s="9">
        <v>0.111</v>
      </c>
      <c r="AF62" s="7">
        <v>6</v>
      </c>
      <c r="AJ62" s="7" t="s">
        <v>274</v>
      </c>
    </row>
    <row r="63" spans="1:38" x14ac:dyDescent="0.35">
      <c r="A63" t="s">
        <v>81</v>
      </c>
      <c r="B63" t="s">
        <v>104</v>
      </c>
      <c r="C63">
        <v>13</v>
      </c>
      <c r="D63">
        <v>10</v>
      </c>
      <c r="F63">
        <v>6</v>
      </c>
      <c r="G63">
        <v>10</v>
      </c>
      <c r="H63">
        <v>59</v>
      </c>
      <c r="I63">
        <v>50</v>
      </c>
      <c r="K63">
        <v>78</v>
      </c>
      <c r="L63">
        <v>69</v>
      </c>
      <c r="M63">
        <v>59</v>
      </c>
      <c r="O63">
        <v>18</v>
      </c>
      <c r="P63" t="e">
        <f t="shared" ca="1" si="1"/>
        <v>#NAME?</v>
      </c>
      <c r="Q63" s="1">
        <v>0.74358974358974361</v>
      </c>
      <c r="R63">
        <v>1.322033898305085</v>
      </c>
      <c r="S63">
        <v>1.38</v>
      </c>
      <c r="T63">
        <v>13</v>
      </c>
      <c r="U63">
        <v>0</v>
      </c>
      <c r="V63">
        <v>0</v>
      </c>
      <c r="W63">
        <v>0</v>
      </c>
      <c r="X63">
        <v>3</v>
      </c>
      <c r="Y63">
        <v>0</v>
      </c>
      <c r="Z63">
        <v>0</v>
      </c>
      <c r="AA63" t="s">
        <v>152</v>
      </c>
      <c r="AB63" t="s">
        <v>196</v>
      </c>
      <c r="AC63" s="2">
        <v>1</v>
      </c>
      <c r="AD63" t="s">
        <v>242</v>
      </c>
      <c r="AE63" s="2">
        <v>0</v>
      </c>
      <c r="AF63">
        <v>1</v>
      </c>
      <c r="AL63">
        <v>1</v>
      </c>
    </row>
    <row r="64" spans="1:38" x14ac:dyDescent="0.35">
      <c r="A64" t="s">
        <v>83</v>
      </c>
      <c r="B64" t="s">
        <v>104</v>
      </c>
      <c r="C64">
        <v>26</v>
      </c>
      <c r="D64">
        <v>23</v>
      </c>
      <c r="F64">
        <v>5</v>
      </c>
      <c r="G64">
        <v>18</v>
      </c>
      <c r="H64">
        <v>73</v>
      </c>
      <c r="I64">
        <v>34</v>
      </c>
      <c r="K64">
        <v>136</v>
      </c>
      <c r="L64">
        <v>75</v>
      </c>
      <c r="M64">
        <v>74</v>
      </c>
      <c r="O64">
        <v>19</v>
      </c>
      <c r="P64" t="e">
        <f t="shared" ca="1" si="1"/>
        <v>#NAME?</v>
      </c>
      <c r="Q64" s="1">
        <v>0.79411764705882348</v>
      </c>
      <c r="R64">
        <v>1.8630136986301371</v>
      </c>
      <c r="S64">
        <v>2.2058823529411771</v>
      </c>
      <c r="T64">
        <v>2</v>
      </c>
      <c r="U64">
        <v>8</v>
      </c>
      <c r="V64">
        <v>7</v>
      </c>
      <c r="W64">
        <v>5</v>
      </c>
      <c r="X64">
        <v>2670</v>
      </c>
      <c r="Y64">
        <v>0</v>
      </c>
      <c r="Z64">
        <v>0</v>
      </c>
      <c r="AA64" t="s">
        <v>154</v>
      </c>
      <c r="AB64" t="s">
        <v>216</v>
      </c>
      <c r="AC64" s="2">
        <v>0.98599999999999999</v>
      </c>
      <c r="AD64" t="s">
        <v>237</v>
      </c>
      <c r="AE64" s="2">
        <v>1.2999999999999999E-2</v>
      </c>
      <c r="AF64">
        <v>2</v>
      </c>
      <c r="AL64">
        <v>1</v>
      </c>
    </row>
    <row r="65" spans="1:38" x14ac:dyDescent="0.35">
      <c r="A65" t="s">
        <v>95</v>
      </c>
      <c r="B65" t="s">
        <v>104</v>
      </c>
      <c r="C65">
        <v>23</v>
      </c>
      <c r="D65">
        <v>5</v>
      </c>
      <c r="F65">
        <v>12</v>
      </c>
      <c r="G65">
        <v>13</v>
      </c>
      <c r="H65">
        <v>147</v>
      </c>
      <c r="I65">
        <v>42</v>
      </c>
      <c r="K65">
        <v>377</v>
      </c>
      <c r="L65">
        <v>163</v>
      </c>
      <c r="M65">
        <v>165</v>
      </c>
      <c r="O65">
        <v>24</v>
      </c>
      <c r="P65" t="e">
        <f t="shared" ca="1" si="1"/>
        <v>#NAME?</v>
      </c>
      <c r="Q65" s="1">
        <v>0.60212201591511938</v>
      </c>
      <c r="R65">
        <v>2.564625850340136</v>
      </c>
      <c r="S65">
        <v>3.8809523809523809</v>
      </c>
      <c r="T65">
        <v>3</v>
      </c>
      <c r="U65">
        <v>12</v>
      </c>
      <c r="V65">
        <v>0</v>
      </c>
      <c r="W65">
        <v>0</v>
      </c>
      <c r="X65">
        <v>0</v>
      </c>
      <c r="Y65">
        <v>0</v>
      </c>
      <c r="Z65">
        <v>0</v>
      </c>
      <c r="AA65" t="s">
        <v>166</v>
      </c>
      <c r="AB65" t="s">
        <v>226</v>
      </c>
      <c r="AC65" s="2">
        <v>0.61</v>
      </c>
      <c r="AD65" t="s">
        <v>249</v>
      </c>
      <c r="AE65" s="2">
        <v>0.28000000000000003</v>
      </c>
      <c r="AF65">
        <v>9</v>
      </c>
    </row>
    <row r="66" spans="1:38" x14ac:dyDescent="0.35">
      <c r="A66" t="s">
        <v>34</v>
      </c>
      <c r="B66" t="s">
        <v>104</v>
      </c>
      <c r="C66">
        <v>29</v>
      </c>
      <c r="D66">
        <v>5</v>
      </c>
      <c r="F66">
        <v>16</v>
      </c>
      <c r="G66">
        <v>18</v>
      </c>
      <c r="H66">
        <v>153</v>
      </c>
      <c r="I66">
        <v>89</v>
      </c>
      <c r="K66">
        <v>743</v>
      </c>
      <c r="L66">
        <v>251</v>
      </c>
      <c r="M66">
        <v>168</v>
      </c>
      <c r="O66">
        <v>4</v>
      </c>
      <c r="P66" t="e">
        <f t="shared" ca="1" si="1"/>
        <v>#NAME?</v>
      </c>
      <c r="Q66" s="1">
        <v>0.65948855989232835</v>
      </c>
      <c r="R66">
        <v>4.856209150326797</v>
      </c>
      <c r="S66">
        <v>2.820224719101124</v>
      </c>
      <c r="T66">
        <v>25</v>
      </c>
      <c r="U66">
        <v>0</v>
      </c>
      <c r="V66">
        <v>0</v>
      </c>
      <c r="W66">
        <v>0</v>
      </c>
      <c r="X66">
        <v>1</v>
      </c>
      <c r="Y66">
        <v>2</v>
      </c>
      <c r="Z66">
        <v>0</v>
      </c>
      <c r="AA66" t="s">
        <v>105</v>
      </c>
      <c r="AB66" t="s">
        <v>175</v>
      </c>
      <c r="AC66" s="2">
        <v>0.36399999999999999</v>
      </c>
      <c r="AD66" t="s">
        <v>233</v>
      </c>
      <c r="AE66" s="2">
        <v>0.52700000000000002</v>
      </c>
      <c r="AF66">
        <v>5</v>
      </c>
    </row>
    <row r="67" spans="1:38" s="7" customFormat="1" x14ac:dyDescent="0.35">
      <c r="A67" s="7" t="s">
        <v>35</v>
      </c>
      <c r="B67" s="7" t="s">
        <v>104</v>
      </c>
      <c r="C67" s="7">
        <v>25</v>
      </c>
      <c r="D67" s="7">
        <v>12</v>
      </c>
      <c r="F67" s="7">
        <v>22</v>
      </c>
      <c r="G67" s="7">
        <v>17</v>
      </c>
      <c r="H67" s="7">
        <v>185</v>
      </c>
      <c r="I67" s="7">
        <v>71</v>
      </c>
      <c r="K67" s="7">
        <v>237</v>
      </c>
      <c r="L67" s="7">
        <v>163</v>
      </c>
      <c r="M67" s="7">
        <v>130</v>
      </c>
      <c r="O67" s="7">
        <v>5</v>
      </c>
      <c r="P67" s="7" t="e">
        <f t="shared" ref="P67:P72" ca="1" si="2">_xludf.VAR.P(C67, D67, F67, G67)</f>
        <v>#NAME?</v>
      </c>
      <c r="Q67" s="8">
        <v>0.83966244725738393</v>
      </c>
      <c r="R67" s="7">
        <v>1.2810810810810811</v>
      </c>
      <c r="S67" s="7">
        <v>2.295774647887324</v>
      </c>
      <c r="T67" s="7">
        <v>20</v>
      </c>
      <c r="U67" s="7">
        <v>0</v>
      </c>
      <c r="V67" s="7">
        <v>1</v>
      </c>
      <c r="W67" s="7">
        <v>1</v>
      </c>
      <c r="X67" s="7">
        <v>9</v>
      </c>
      <c r="Y67" s="7">
        <v>0</v>
      </c>
      <c r="Z67" s="7">
        <v>0</v>
      </c>
      <c r="AA67" s="7" t="s">
        <v>106</v>
      </c>
      <c r="AB67" s="7" t="s">
        <v>176</v>
      </c>
      <c r="AC67" s="9">
        <v>0.71</v>
      </c>
      <c r="AD67" s="7" t="s">
        <v>234</v>
      </c>
      <c r="AE67" s="9">
        <v>0.27200000000000002</v>
      </c>
      <c r="AF67" s="7">
        <v>4</v>
      </c>
      <c r="AL67" s="7">
        <v>1</v>
      </c>
    </row>
    <row r="68" spans="1:38" x14ac:dyDescent="0.35">
      <c r="A68" t="s">
        <v>92</v>
      </c>
      <c r="B68" t="s">
        <v>104</v>
      </c>
      <c r="C68">
        <v>29</v>
      </c>
      <c r="D68">
        <v>7</v>
      </c>
      <c r="F68">
        <v>8</v>
      </c>
      <c r="G68">
        <v>18</v>
      </c>
      <c r="H68">
        <v>307</v>
      </c>
      <c r="I68">
        <v>67</v>
      </c>
      <c r="K68">
        <v>7731</v>
      </c>
      <c r="L68">
        <v>854</v>
      </c>
      <c r="M68">
        <v>130</v>
      </c>
      <c r="O68">
        <v>23</v>
      </c>
      <c r="P68" t="e">
        <f t="shared" ca="1" si="2"/>
        <v>#NAME?</v>
      </c>
      <c r="Q68" s="1">
        <v>0.85758593951925566</v>
      </c>
      <c r="R68">
        <v>25.182410423452769</v>
      </c>
      <c r="S68">
        <v>12.746268656716421</v>
      </c>
      <c r="T68">
        <v>13</v>
      </c>
      <c r="U68">
        <v>159</v>
      </c>
      <c r="V68">
        <v>54</v>
      </c>
      <c r="W68">
        <v>12</v>
      </c>
      <c r="X68">
        <v>529</v>
      </c>
      <c r="Y68">
        <v>1</v>
      </c>
      <c r="Z68">
        <v>0</v>
      </c>
      <c r="AA68" t="s">
        <v>163</v>
      </c>
      <c r="AB68" t="s">
        <v>223</v>
      </c>
      <c r="AC68" s="2">
        <v>6.9999999999999993E-3</v>
      </c>
      <c r="AD68" t="s">
        <v>248</v>
      </c>
      <c r="AE68" s="2">
        <v>0.9890000000000001</v>
      </c>
      <c r="AF68">
        <v>3</v>
      </c>
    </row>
    <row r="69" spans="1:38" x14ac:dyDescent="0.35">
      <c r="A69" t="s">
        <v>53</v>
      </c>
      <c r="B69" t="s">
        <v>104</v>
      </c>
      <c r="C69">
        <v>18</v>
      </c>
      <c r="D69">
        <v>19</v>
      </c>
      <c r="F69">
        <v>19</v>
      </c>
      <c r="G69">
        <v>17</v>
      </c>
      <c r="H69">
        <v>110</v>
      </c>
      <c r="I69">
        <v>25</v>
      </c>
      <c r="K69">
        <v>1264</v>
      </c>
      <c r="L69">
        <v>399</v>
      </c>
      <c r="M69">
        <v>118</v>
      </c>
      <c r="O69">
        <v>11</v>
      </c>
      <c r="P69" t="e">
        <f t="shared" ca="1" si="2"/>
        <v>#NAME?</v>
      </c>
      <c r="Q69" s="1">
        <v>0.90585443037974689</v>
      </c>
      <c r="R69">
        <v>11.49090909090909</v>
      </c>
      <c r="S69">
        <v>15.96</v>
      </c>
      <c r="T69">
        <v>20</v>
      </c>
      <c r="U69">
        <v>30</v>
      </c>
      <c r="V69">
        <v>12</v>
      </c>
      <c r="W69">
        <v>9</v>
      </c>
      <c r="X69">
        <v>58</v>
      </c>
      <c r="Y69">
        <v>3</v>
      </c>
      <c r="Z69">
        <v>0</v>
      </c>
      <c r="AA69" t="s">
        <v>124</v>
      </c>
      <c r="AB69" t="s">
        <v>194</v>
      </c>
      <c r="AC69" s="2">
        <v>0.88700000000000001</v>
      </c>
      <c r="AD69" t="s">
        <v>234</v>
      </c>
      <c r="AE69" s="2">
        <v>0.11</v>
      </c>
      <c r="AF69">
        <v>3</v>
      </c>
      <c r="AJ69" t="s">
        <v>272</v>
      </c>
    </row>
    <row r="70" spans="1:38" x14ac:dyDescent="0.35">
      <c r="A70" t="s">
        <v>56</v>
      </c>
      <c r="B70" t="s">
        <v>104</v>
      </c>
      <c r="C70">
        <v>19</v>
      </c>
      <c r="D70">
        <v>5</v>
      </c>
      <c r="F70">
        <v>11</v>
      </c>
      <c r="G70">
        <v>14</v>
      </c>
      <c r="H70">
        <v>109</v>
      </c>
      <c r="I70">
        <v>27</v>
      </c>
      <c r="K70">
        <v>1084</v>
      </c>
      <c r="L70">
        <v>130</v>
      </c>
      <c r="M70">
        <v>136</v>
      </c>
      <c r="O70">
        <v>12</v>
      </c>
      <c r="P70" t="e">
        <f t="shared" ca="1" si="2"/>
        <v>#NAME?</v>
      </c>
      <c r="Q70" s="1">
        <v>0.78445883441258091</v>
      </c>
      <c r="R70">
        <v>9.9449541284403669</v>
      </c>
      <c r="S70">
        <v>4.8148148148148149</v>
      </c>
      <c r="T70">
        <v>24</v>
      </c>
      <c r="U70">
        <v>0</v>
      </c>
      <c r="V70">
        <v>0</v>
      </c>
      <c r="W70">
        <v>0</v>
      </c>
      <c r="X70">
        <v>1</v>
      </c>
      <c r="Y70">
        <v>2</v>
      </c>
      <c r="Z70">
        <v>0</v>
      </c>
      <c r="AA70" t="s">
        <v>127</v>
      </c>
      <c r="AB70" t="s">
        <v>197</v>
      </c>
      <c r="AC70" s="2">
        <v>0.96099999999999997</v>
      </c>
      <c r="AD70" t="s">
        <v>234</v>
      </c>
      <c r="AE70" s="2">
        <v>1.4999999999999999E-2</v>
      </c>
      <c r="AF70">
        <v>4</v>
      </c>
    </row>
    <row r="71" spans="1:38" x14ac:dyDescent="0.35">
      <c r="A71" t="s">
        <v>89</v>
      </c>
      <c r="B71" t="s">
        <v>104</v>
      </c>
      <c r="C71">
        <v>27</v>
      </c>
      <c r="D71">
        <v>5</v>
      </c>
      <c r="F71">
        <v>27</v>
      </c>
      <c r="G71">
        <v>23</v>
      </c>
      <c r="H71">
        <v>585</v>
      </c>
      <c r="I71">
        <v>82</v>
      </c>
      <c r="K71">
        <v>2666</v>
      </c>
      <c r="L71">
        <v>666</v>
      </c>
      <c r="M71">
        <v>647</v>
      </c>
      <c r="O71">
        <v>22</v>
      </c>
      <c r="P71" t="e">
        <f t="shared" ca="1" si="2"/>
        <v>#NAME?</v>
      </c>
      <c r="Q71" s="1">
        <v>0.74709193245778616</v>
      </c>
      <c r="R71">
        <v>4.5572649572649571</v>
      </c>
      <c r="S71">
        <v>8.1219512195121943</v>
      </c>
      <c r="T71">
        <v>14</v>
      </c>
      <c r="U71">
        <v>0</v>
      </c>
      <c r="V71">
        <v>1</v>
      </c>
      <c r="W71">
        <v>1</v>
      </c>
      <c r="X71">
        <v>3</v>
      </c>
      <c r="Y71">
        <v>0</v>
      </c>
      <c r="Z71">
        <v>0</v>
      </c>
      <c r="AA71" t="s">
        <v>160</v>
      </c>
      <c r="AB71" t="s">
        <v>220</v>
      </c>
      <c r="AC71" s="2">
        <v>0.89500000000000002</v>
      </c>
      <c r="AD71" t="s">
        <v>245</v>
      </c>
      <c r="AE71" s="2">
        <v>0.06</v>
      </c>
      <c r="AF71">
        <v>6</v>
      </c>
    </row>
    <row r="72" spans="1:38" x14ac:dyDescent="0.35">
      <c r="A72" t="s">
        <v>94</v>
      </c>
      <c r="B72" t="s">
        <v>104</v>
      </c>
      <c r="C72">
        <v>30</v>
      </c>
      <c r="D72">
        <v>5</v>
      </c>
      <c r="F72">
        <v>5</v>
      </c>
      <c r="G72">
        <v>20</v>
      </c>
      <c r="H72">
        <v>384</v>
      </c>
      <c r="I72">
        <v>188</v>
      </c>
      <c r="K72">
        <v>1957</v>
      </c>
      <c r="L72">
        <v>302</v>
      </c>
      <c r="M72">
        <v>445</v>
      </c>
      <c r="O72">
        <v>24</v>
      </c>
      <c r="P72" t="e">
        <f t="shared" ca="1" si="2"/>
        <v>#NAME?</v>
      </c>
      <c r="Q72" s="5">
        <v>0.39826619071902092</v>
      </c>
      <c r="R72">
        <v>5.096354166666667</v>
      </c>
      <c r="S72">
        <v>1.6063829787234041</v>
      </c>
      <c r="T72">
        <v>11</v>
      </c>
      <c r="U72">
        <v>1</v>
      </c>
      <c r="V72">
        <v>0</v>
      </c>
      <c r="W72">
        <v>0</v>
      </c>
      <c r="X72">
        <v>1</v>
      </c>
      <c r="Y72">
        <v>0</v>
      </c>
      <c r="Z72">
        <v>0</v>
      </c>
      <c r="AA72" t="s">
        <v>165</v>
      </c>
      <c r="AB72" t="s">
        <v>225</v>
      </c>
      <c r="AC72" s="6">
        <v>0.93900000000000006</v>
      </c>
      <c r="AD72" t="s">
        <v>247</v>
      </c>
      <c r="AE72" s="6">
        <v>4.2999999999999997E-2</v>
      </c>
      <c r="AF72">
        <v>4</v>
      </c>
    </row>
  </sheetData>
  <mergeCells count="8">
    <mergeCell ref="Q1:S1"/>
    <mergeCell ref="T1:Z1"/>
    <mergeCell ref="AA1:AE1"/>
    <mergeCell ref="A1:B1"/>
    <mergeCell ref="C1:E1"/>
    <mergeCell ref="F1:G1"/>
    <mergeCell ref="H1:J1"/>
    <mergeCell ref="K1:N1"/>
  </mergeCells>
  <conditionalFormatting sqref="X3:X72">
    <cfRule type="cellIs" dxfId="0" priority="1" operator="equal">
      <formula>0</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Max Byers</cp:lastModifiedBy>
  <dcterms:created xsi:type="dcterms:W3CDTF">2025-03-20T23:27:16Z</dcterms:created>
  <dcterms:modified xsi:type="dcterms:W3CDTF">2025-03-21T23:21:17Z</dcterms:modified>
</cp:coreProperties>
</file>