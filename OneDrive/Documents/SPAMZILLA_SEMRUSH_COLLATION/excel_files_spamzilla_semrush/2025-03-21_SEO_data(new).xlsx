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42" documentId="11_460A4120AE31921FD2FEB0C4BC056795C9A5E5CF" xr6:coauthVersionLast="47" xr6:coauthVersionMax="47" xr10:uidLastSave="{6E1A7F14-0275-40C3-86A6-A897A048BCCB}"/>
  <bookViews>
    <workbookView minimized="1" xWindow="6770" yWindow="2380" windowWidth="7500" windowHeight="6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1" i="1" l="1"/>
</calcChain>
</file>

<file path=xl/sharedStrings.xml><?xml version="1.0" encoding="utf-8"?>
<sst xmlns="http://schemas.openxmlformats.org/spreadsheetml/2006/main" count="172" uniqueCount="172">
  <si>
    <t>Name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</si>
  <si>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</si>
  <si>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</si>
  <si>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</si>
  <si>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</si>
  <si>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</si>
  <si>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</si>
  <si>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</si>
  <si>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</si>
  <si>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</si>
  <si>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</si>
  <si>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</si>
  <si>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</si>
  <si>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</si>
  <si>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</si>
  <si>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</si>
  <si>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</si>
  <si>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</si>
  <si>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</si>
  <si>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</si>
  <si>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</si>
  <si>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</si>
  <si>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</si>
  <si>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</si>
  <si>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underome.com</t>
  </si>
  <si>
    <t>visitthewestchilcotin.com</t>
  </si>
  <si>
    <t>chthonic.org</t>
  </si>
  <si>
    <t>mainelymurders.com</t>
  </si>
  <si>
    <t>flintparticles.org</t>
  </si>
  <si>
    <t>inupiatgov.com</t>
  </si>
  <si>
    <t>hashtracking.com</t>
  </si>
  <si>
    <t>is-real.net</t>
  </si>
  <si>
    <t>michaelisaacson.com</t>
  </si>
  <si>
    <t>acquiropay.com</t>
  </si>
  <si>
    <t>brokenbowcountryclub.com</t>
  </si>
  <si>
    <t>mauioceanfrontinn.com</t>
  </si>
  <si>
    <t>tfhe.net</t>
  </si>
  <si>
    <t>systemo.biz</t>
  </si>
  <si>
    <t>rsvoting.org</t>
  </si>
  <si>
    <t>bordersreorganization.com</t>
  </si>
  <si>
    <t>specticast.com</t>
  </si>
  <si>
    <t>motechonline.com</t>
  </si>
  <si>
    <t>whalesworldwide.com</t>
  </si>
  <si>
    <t>eumodic.org</t>
  </si>
  <si>
    <t>sandiegocolleges.org</t>
  </si>
  <si>
    <t>win-that-job.com</t>
  </si>
  <si>
    <t>pleygo.com</t>
  </si>
  <si>
    <t>carytownburgers.com</t>
  </si>
  <si>
    <t>flowerbrackets.com</t>
  </si>
  <si>
    <t>ellensburgbeerandcider.com</t>
  </si>
  <si>
    <t>stlucieinlet.com</t>
  </si>
  <si>
    <t>mejoratuescuela.org</t>
  </si>
  <si>
    <t>efficientglazing.net</t>
  </si>
  <si>
    <t>license-key.biz</t>
  </si>
  <si>
    <t>teklow.com</t>
  </si>
  <si>
    <t>expoglobus.com</t>
  </si>
  <si>
    <t>kokotheshop.com</t>
  </si>
  <si>
    <t>maepdx.com</t>
  </si>
  <si>
    <t>crawforddistillery.com</t>
  </si>
  <si>
    <t>chrisprom.com</t>
  </si>
  <si>
    <t>shareurcodes.com</t>
  </si>
  <si>
    <t>bacegroup.com</t>
  </si>
  <si>
    <t>artsandeats.org</t>
  </si>
  <si>
    <t>russianballetacademy.net</t>
  </si>
  <si>
    <t>mjsullivanauto.com</t>
  </si>
  <si>
    <t>roadmancampers.com</t>
  </si>
  <si>
    <t>premierhydroshop.com</t>
  </si>
  <si>
    <t>ourspaceourplace.org</t>
  </si>
  <si>
    <t>giriftarcafe.com</t>
  </si>
  <si>
    <t>theater-atlanta.com</t>
  </si>
  <si>
    <t>martechlive.com</t>
  </si>
  <si>
    <t>thetexassmoke.com</t>
  </si>
  <si>
    <t>camiciarossa.org</t>
  </si>
  <si>
    <t>raisingachievement.org</t>
  </si>
  <si>
    <t>notesonfranzschubert.com</t>
  </si>
  <si>
    <t>hunanfresno.com</t>
  </si>
  <si>
    <t>jerseytomatoco.com</t>
  </si>
  <si>
    <t>yazicifotokopi.com</t>
  </si>
  <si>
    <t>a7lamee.com</t>
  </si>
  <si>
    <t>escritacriativa.org</t>
  </si>
  <si>
    <t>viveraprendendo.com</t>
  </si>
  <si>
    <t>getuncubed.com</t>
  </si>
  <si>
    <t>zabatak.com</t>
  </si>
  <si>
    <t>top20plus.com</t>
  </si>
  <si>
    <t>baltimorewoodproject.org</t>
  </si>
  <si>
    <t>duncanism.com</t>
  </si>
  <si>
    <t>marfatxlights.com</t>
  </si>
  <si>
    <t>biosignalsplux.com</t>
  </si>
  <si>
    <t>gnartec.com</t>
  </si>
  <si>
    <t>scubadivingtube.com</t>
  </si>
  <si>
    <t>galvestondivorcelawyer.com</t>
  </si>
  <si>
    <t>anaise.com</t>
  </si>
  <si>
    <t>Recreation/Food: 15
Arts/Classical Studies: 14
Society: 12
Recreation/Outdoors: 11
Regional/Europe: 9
Society/Politics: 9
Recreation/Travel: 9
Arts/Digital: 7</t>
  </si>
  <si>
    <t>Regional/North America: 22
Recreation/Travel: 18
Recreation/Outdoors: 11</t>
  </si>
  <si>
    <t>Arts/Music: 13
Recreation/Birding: 10
News/Alternative: 10
Business/Arts and Entertainment: 9
Science/Social Sciences: 6</t>
  </si>
  <si>
    <t>Business/Publishing and Printing: 12
Arts/Literature: 8
Arts/Performing Arts: 7
Business: 7
Shopping/Publications: 7
Arts/Photography: 7</t>
  </si>
  <si>
    <t>Computers/Programming/Languages: 10
Business/Financial Services: 9
Business/Business Services: 8
Business/Construction and Maintenance: 7
Adult/Image Galleries: 7
Regional/North America: 6
Arts/Graphic Design: 6
Recreation/Travel: 6
Arts/Music: 6
Recreation/Humor: 5</t>
  </si>
  <si>
    <t>Society/Issues: 16
Computers/Internet/News and Media: 10
Arts/Movies: 10
Society/Ethnicity: 9
Society: 8</t>
  </si>
  <si>
    <t>Society/Organizations: 10
Computers/Internet/On the Web: 9
Society/Government: 9
Computers/Internet/Web Design and Development: 9
Business: 8
Business/Business Services: 8
Computers/Internet/News and Media: 8
Business/Opportunities: 8
Computers/Data Formats: 8
Arts/Television: 8</t>
  </si>
  <si>
    <t>Computers/Software/Operating Systems: 9
Computers/Software/Desktop Customization: 7
Arts: 7
Computers/Programming/Languages: 5
Computers/Companies: 5
Computers/Internet/Web Design and Development: 5</t>
  </si>
  <si>
    <t>Arts/Music: 11
Society/Ethnicity: 6</t>
  </si>
  <si>
    <t>Shopping/Clothing: 15
Computers/Internet: 13
Business: 10
Computers/Internet/Web Design and Development: 9</t>
  </si>
  <si>
    <t>Regional/North America: 18
Recreation/Travel: 11
Sports/Golf: 11
Society/Government: 8</t>
  </si>
  <si>
    <t>Computers/Internet/Searching: 7
Arts/Television: 7
Recreation/Travel: 7
Society/Holidays: 7
Business/Construction and Maintenance: 7
Recreation/Pets: 7
Society/Issues: 6
Business/Automotive: 6
Regional/Europe: 6
Business/Business Services: 6</t>
  </si>
  <si>
    <t>Arts/Visual Arts: 11
Arts/Humanities: 9
Society: 6
Society/Subcultures: 6
Science/Environment: 6
Society/People: 6
Society/Religion and Spirituality: 6
Society/Issues: 6
Recreation/Travel: 6
Computers/Computer Science/Theoretical: 5</t>
  </si>
  <si>
    <t>Computers/Internet/On the Web: 7
Society/Philanthropy: 6
Society/Religion and Spirituality: 4</t>
  </si>
  <si>
    <t>Science/Math: 20</t>
  </si>
  <si>
    <t>Arts/Literature: 11
Arts/Writers Resources: 8
Reference/Education: 7
Recreation/Birding: 7
Shopping/Publications: 7
Arts/Online Writing: 7
News/Magazines and E-zines: 6
Society/People: 6
Regional/North America: 6</t>
  </si>
  <si>
    <t>Arts/Music: 11
Arts: 8
Arts/Visual Arts: 7
Arts/Movies: 6</t>
  </si>
  <si>
    <t>Business/Automotive: 16
Regional/Asia: 11
Recreation/Autos: 10</t>
  </si>
  <si>
    <t>Recreation/Travel: 19
Science/Environment: 12
Regional/Europe: 12</t>
  </si>
  <si>
    <t>Science/Biology: 10
Health/Conditions and Diseases: 6
Reference/Education: 6</t>
  </si>
  <si>
    <t>Reference/Education: 12</t>
  </si>
  <si>
    <t>Business: 11
Computers/Internet/Protocols: 9
Reference/Education: 9
News/Media Industry: 8
Society/History: 8
Computers/Artificial Life: 8
News: 7
Arts/Comics: 7
News/Extended Coverage: 7
Science/Biology: 6</t>
  </si>
  <si>
    <t>Regional/North America: 16
Recreation/Collecting: 10
Arts/Movies: 9
Computers/Internet/Web Design and Development: 8</t>
  </si>
  <si>
    <t>Recreation/Food: 7
Shopping/Home and Garden: 7
Recreation/Travel: 7
Business/Automotive: 7
Shopping/Food: 6
Science/Agriculture: 6
News/Newspapers: 6
Business: 5
Recreation/Outdoors: 5
Regional/North America: 5</t>
  </si>
  <si>
    <t>Computers/Algorithms: 17
Computers/Programming/Languages: 9
Business/Real Estate: 9</t>
  </si>
  <si>
    <t>Recreation/Food: 12</t>
  </si>
  <si>
    <t>Business: 25
Sports/Water Sports: 14
Computers/Internet/On the Web: 13
Recreation/Outdoors: 11</t>
  </si>
  <si>
    <t>Computers/Open Source: 8
Society/Organizations: 7
Computers/Internet/On the Web: 6
Computers/Software/Operating Systems: 6
Reference/Education: 6
Reference/Time: 6
Society/Issues: 5
Regional/North America: 5
News/Weather: 5
Reference/Libraries: 5</t>
  </si>
  <si>
    <t>Reference/Education: 5
Business/Construction and Maintenance: 4</t>
  </si>
  <si>
    <t>Society/People: 8
Business: 8
Arts/Photography: 8
Business/Construction and Maintenance: 7
Arts/Literature: 6
Business/Arts and Entertainment: 6
Computers/Software/Operating Systems: 5
Games/Video Games/Puzzle: 5
Business/Financial Services: 5
Regional/Europe: 5</t>
  </si>
  <si>
    <t>Computers/Hacking: 10</t>
  </si>
  <si>
    <t>Business/News and Media: 7
Science/Biology: 6
Business/Financial Services: 6
Science/Environment: 4
Reference/Museums: 4</t>
  </si>
  <si>
    <t>Recreation/Travel: 11
Arts: 9
Reference/Education: 7
Science/Social Sciences: 5</t>
  </si>
  <si>
    <t>Home/Gardening: 7
Society/Government: 7
Recreation/Food: 7
Society/Issues: 6
Society/Organizations: 5
Recreation/Travel: 5
Computers/Internet/Web Design and Development: 4
Arts/Literature: 4
Shopping/Food: 3
Society/People: 3</t>
  </si>
  <si>
    <t>Recreation/Travel: 10
Regional/North America: 8</t>
  </si>
  <si>
    <t>Reference/Libraries: 11
Society/Government: 9
Computers/Internet/History: 9
Reference/Archives: 7
Reference/Education: 7
Science/Social Sciences: 7
Society/Issues: 7
Society/History: 7
Arts/Literature: 7
Science/Publications: 7</t>
  </si>
  <si>
    <t>Computers/Programming/Databases: 8
Computers/Data Formats: 6
Computers/Programming/Languages: 6
Business/Real Estate: 5
Society/Politics: 5
Computers/Mobile Computing: 4</t>
  </si>
  <si>
    <t>Games/Online: 6
Games/Video Games/Browser Based: 6
Games/Board Games: 6
Games/Video Games/Developers and Publishers: 5
Reference/Education: 4
Science/Social Sciences: 4
Computers/Internet/On the Web: 4</t>
  </si>
  <si>
    <t>Recreation/Travel: 14
Arts/Crafts: 13
Science/Agriculture: 12
Health: 11
Business/Real Estate: 11
Reference/Museums: 10
Regional/North America: 10
News/Weather: 9
Arts/Photography: 8
Reference/Education: 7</t>
  </si>
  <si>
    <t>Business/Energy: 10
Health: 7
Business/Transportation and Logistics: 7
Business: 7
Health/Dentistry: 6
Health/Mental Health: 6</t>
  </si>
  <si>
    <t>Business/Marketing and Advertising: 22</t>
  </si>
  <si>
    <t>Recreation/Outdoors: 16</t>
  </si>
  <si>
    <t>Computers/Software/Business: 8
News/Media Industry: 6
Home/Gardening: 4
Computers/Internet/Web Design and Development: 4
Business: 4</t>
  </si>
  <si>
    <t>Society/Philanthropy: 6
Arts/Visual Arts: 6
Reference/Museums: 5
Society/Government: 5
Reference/Education: 5
Society: 4
Arts/Television: 4
News/Newspapers: 4
Computers/Internet/Web Design and Development: 4</t>
  </si>
  <si>
    <t>Home/Cooking: 14
Sports/Soccer: 11
Computers/Internet/On the Web: 10
Shopping/Food: 10
News/Magazines and E-zines: 9
Sports/Resources: 8
News/Other: 8</t>
  </si>
  <si>
    <t>Arts/Art History: 6
Society/Government: 6
Recreation/Travel: 5
Business/Construction and Maintenance: 5
Arts: 5
Arts/Performing Arts: 3
Regional/Middle East: 2
Business/Real Estate: 2
Recreation/Pets: 2
Arts/Music: 2</t>
  </si>
  <si>
    <t>Business/Business Services: 5
Computers/Internet/Web Design and Development: 5
Sports/Archery: 2
Recreation/Pets: 2
Regional/Europe: 2
Computers/Software/Internet: 2</t>
  </si>
  <si>
    <t>Arts/Radio: 5
Sports/Wrestling: 2
Reference/Education: 2</t>
  </si>
  <si>
    <t>Business/Publishing and Printing: 7</t>
  </si>
  <si>
    <t>Society/Issues: 5
Reference/Education: 5
Society: 5
Society/People: 4
Science/Environment: 4
Reference/Libraries: 4
Reference/Dictionaries: 4
Science/Educational Resources: 4
Reference/Archives: 4
Science/Social Sciences: 4</t>
  </si>
  <si>
    <t>Arts/Music: 26</t>
  </si>
  <si>
    <t>Computers/Software/Graphics: 7
Recreation/Pets: 7
News/Newspapers: 5
Regional/North America: 4
Arts: 4
News/Media Industry: 4
Shopping/Pets: 4
Society/Issues: 4</t>
  </si>
  <si>
    <t>Arts/Television: 5
Recreation/Pets: 3
Arts/People: 3</t>
  </si>
  <si>
    <t>Business/Hospitality: 27</t>
  </si>
  <si>
    <t>Regional/North America: 7
Computers/Internet/E-mail: 7
Society/Politics: 6</t>
  </si>
  <si>
    <t>Business/Real Estate: 4
Recreation/Travel: 4
Business/Arts and Entertainment: 3
Business: 3
Business/Transportation and Logistics: 3
Recreation/Autos: 2
Home/Gardening: 2
Business/Consumer Goods and Services: 2</t>
  </si>
  <si>
    <t>Home/Cooking: 8
Arts/Crafts: 5
Shopping/Jewelry: 5</t>
  </si>
  <si>
    <t>Science/Math: 14
Computers/Computer Science/Academic Departments: 11
Reference/Education: 10
Computers/Computer Science/Database Theory: 9
Business/Transportation and Logistics: 7
Computers/Computer Science/Publications: 7
Society/People: 7</t>
  </si>
  <si>
    <t>Society/Activism: 5
Home/Family: 3
Society/Organizations: 3
Business/Energy: 3
Business/Real Estate: 3
Health/Senior Health: 3
Home/Gardening: 3
Arts: 2
Recreation/Travel: 2
Sports/Equestrian: 2</t>
  </si>
  <si>
    <t>Recreation/Outdoors: 12
Computers/Internet: 11
Society/Philosophy: 9
Recreation/Theme Parks: 8
Recreation/Travel: 6
Arts: 6</t>
  </si>
  <si>
    <t>Business/Consumer Goods and Services: 11
Science/Social Sciences: 8
Science/Agriculture: 6
Society/Issues: 6
Society/Future: 5</t>
  </si>
  <si>
    <t>Arts/Organizations: 11
Arts: 7</t>
  </si>
  <si>
    <t>Society/Paranormal: 12
Reference/Museums: 6
Recreation/Travel: 6
Recreation/Food: 5</t>
  </si>
  <si>
    <t>Computers/Internet: 13
Science/Social Sciences: 11
Computers/Programming: 9
Sports/Baseball: 8
Society/Issues: 7</t>
  </si>
  <si>
    <t>Regional/Europe: 12
Arts: 11</t>
  </si>
  <si>
    <t>Home/Family: 3
Society/Organizations: 3
Business/Energy: 3
Business/Real Estate: 3
Business/Business Services: 3
Health/Senior Health: 3
Home/Gardening: 3
Arts: 2
Recreation/Travel: 2
Sports/Equestrian: 2</t>
  </si>
  <si>
    <t>Society/Law: 8
Society/Government: 5
Reference/Education: 5
Business: 5
Computers/Emulators: 3
Computers/Software/Internet: 3</t>
  </si>
  <si>
    <t>Arts/Visual Arts: 12
Society/People: 11
Arts/Design: 11
Home/Family: 8
Arts/Crafts: 8
Home/Gardening: 6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</si>
  <si>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</si>
  <si>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</si>
  <si>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</si>
  <si>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</si>
  <si>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</si>
  <si>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</si>
  <si>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</si>
  <si>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</si>
  <si>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</si>
  <si>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USD Price</t>
  </si>
  <si>
    <t>AUD Price</t>
  </si>
  <si>
    <t>Bids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</si>
</sst>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3" fontId="0" fillId="0" borderId="0" xfId="0" applyNumberFormat="1"/>
    <xf numFmtId="4" fontId="0" fillId="0" borderId="0" xfId="0" applyNumberFormat="1"/>
    <xf numFmtId="9" fontId="0" fillId="0" borderId="2" xfId="0" applyNumberFormat="1" applyBorder="1"/>
    <xf numFmtId="0" fontId="1" fillId="1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/>
    <xf numFmtId="0" fontId="0" fillId="0" borderId="2" xfId="1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outline="0">
        <left style="thin">
          <color auto="1"/>
        </left>
      </border>
    </dxf>
    <dxf>
      <numFmt numFmtId="0" formatCode="General"/>
    </dxf>
    <dxf>
      <border outline="0">
        <right style="thin">
          <color auto="1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A70" totalsRowShown="0">
  <autoFilter ref="A2:AA70" xr:uid="{00000000-0009-0000-0100-000001000000}"/>
  <sortState xmlns:xlrd2="http://schemas.microsoft.com/office/spreadsheetml/2017/richdata2" ref="A27:AA50">
    <sortCondition descending="1" ref="C2:C70"/>
  </sortState>
  <tableColumns count="27">
    <tableColumn id="1" xr3:uid="{00000000-0010-0000-0000-000001000000}" name="Name"/>
    <tableColumn id="2" xr3:uid="{00000000-0010-0000-0000-000002000000}" name="DA"/>
    <tableColumn id="3" xr3:uid="{00000000-0010-0000-0000-000003000000}" name="AS"/>
    <tableColumn id="4" xr3:uid="{00000000-0010-0000-0000-000004000000}" name="DR"/>
    <tableColumn id="5" xr3:uid="{00000000-0010-0000-0000-000005000000}" name="UR"/>
    <tableColumn id="6" xr3:uid="{00000000-0010-0000-0000-000006000000}" name="TF"/>
    <tableColumn id="7" xr3:uid="{00000000-0010-0000-0000-000007000000}" name="CF"/>
    <tableColumn id="8" xr3:uid="{00000000-0010-0000-0000-000008000000}" name="S RD"/>
    <tableColumn id="9" xr3:uid="{00000000-0010-0000-0000-000009000000}" name="M RD"/>
    <tableColumn id="10" xr3:uid="{00000000-0010-0000-0000-00000A000000}" name="A RD"/>
    <tableColumn id="11" xr3:uid="{00000000-0010-0000-0000-00000B000000}" name="S BL"/>
    <tableColumn id="12" xr3:uid="{00000000-0010-0000-0000-00000C000000}" name="M BL"/>
    <tableColumn id="13" xr3:uid="{00000000-0010-0000-0000-00000D000000}" name="A BL"/>
    <tableColumn id="14" xr3:uid="{00000000-0010-0000-0000-00000E000000}" name="IP'S"/>
    <tableColumn id="15" xr3:uid="{00000000-0010-0000-0000-00000F000000}" name="SZ"/>
    <tableColumn id="16" xr3:uid="{00000000-0010-0000-0000-000010000000}" name="Variance"/>
    <tableColumn id="17" xr3:uid="{00000000-0010-0000-0000-000011000000}" name="Follow %"/>
    <tableColumn id="18" xr3:uid="{00000000-0010-0000-0000-000012000000}" name="S (BL/RD)"/>
    <tableColumn id="19" xr3:uid="{00000000-0010-0000-0000-000013000000}" name="M (BL/RD)"/>
    <tableColumn id="20" xr3:uid="{00000000-0010-0000-0000-000014000000}" name="Age"/>
    <tableColumn id="21" xr3:uid="{00000000-0010-0000-0000-000015000000}" name="Indexed"/>
    <tableColumn id="22" xr3:uid="{00000000-0010-0000-0000-000016000000}" name="Drops"/>
    <tableColumn id="23" xr3:uid="{00000000-0010-0000-0000-000017000000}" name="MT" dataDxfId="5"/>
    <tableColumn id="24" xr3:uid="{00000000-0010-0000-0000-000018000000}" name="English %" dataDxfId="4" dataCellStyle="Per cent"/>
    <tableColumn id="25" xr3:uid="{00000000-0010-0000-0000-000019000000}" name="USD Price" dataDxfId="3"/>
    <tableColumn id="26" xr3:uid="{00000000-0010-0000-0000-00001A000000}" name="AUD Price"/>
    <tableColumn id="27" xr3:uid="{0A33F7F1-7E12-4E6F-B31D-721ACEC037D8}" name="B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"/>
  <sheetViews>
    <sheetView tabSelected="1" topLeftCell="A54" workbookViewId="0">
      <selection activeCell="A68" sqref="A68"/>
    </sheetView>
  </sheetViews>
  <sheetFormatPr defaultRowHeight="14.5" x14ac:dyDescent="0.35"/>
  <cols>
    <col min="1" max="1" width="24.90625" bestFit="1" customWidth="1"/>
    <col min="2" max="2" width="5.54296875" hidden="1" customWidth="1"/>
    <col min="3" max="3" width="5.1796875" hidden="1" customWidth="1"/>
    <col min="4" max="5" width="5.453125" hidden="1" customWidth="1"/>
    <col min="6" max="6" width="5" hidden="1" customWidth="1"/>
    <col min="7" max="7" width="5.08984375" hidden="1" customWidth="1"/>
    <col min="8" max="8" width="6.81640625" bestFit="1" customWidth="1"/>
    <col min="9" max="9" width="7.6328125" bestFit="1" customWidth="1"/>
    <col min="10" max="10" width="7.08984375" bestFit="1" customWidth="1"/>
    <col min="11" max="11" width="6.36328125" hidden="1" customWidth="1"/>
    <col min="12" max="12" width="7.1796875" hidden="1" customWidth="1"/>
    <col min="13" max="13" width="6.6328125" hidden="1" customWidth="1"/>
    <col min="14" max="14" width="6.08984375" hidden="1" customWidth="1"/>
    <col min="15" max="15" width="10.453125" hidden="1" customWidth="1"/>
    <col min="16" max="16" width="13.7265625" hidden="1" customWidth="1"/>
    <col min="17" max="17" width="10.453125" style="1" hidden="1" customWidth="1"/>
    <col min="18" max="18" width="10.81640625" hidden="1" customWidth="1"/>
    <col min="19" max="19" width="11.6328125" hidden="1" customWidth="1"/>
    <col min="20" max="20" width="6.1796875" hidden="1" customWidth="1"/>
    <col min="21" max="21" width="9.81640625" hidden="1" customWidth="1"/>
    <col min="22" max="22" width="8.08984375" hidden="1" customWidth="1"/>
    <col min="23" max="23" width="255.6328125" hidden="1" customWidth="1"/>
    <col min="24" max="24" width="15.453125" style="9" hidden="1" customWidth="1"/>
    <col min="25" max="25" width="11.08984375" bestFit="1" customWidth="1"/>
    <col min="26" max="26" width="11.36328125" bestFit="1" customWidth="1"/>
    <col min="27" max="27" width="6.54296875" bestFit="1" customWidth="1"/>
  </cols>
  <sheetData>
    <row r="1" spans="1:27" x14ac:dyDescent="0.35">
      <c r="A1" s="2" t="s">
        <v>160</v>
      </c>
      <c r="B1" s="11" t="s">
        <v>161</v>
      </c>
      <c r="C1" s="11"/>
      <c r="D1" s="11"/>
      <c r="E1" s="11"/>
      <c r="F1" s="11"/>
      <c r="G1" s="11"/>
      <c r="H1" s="12" t="s">
        <v>162</v>
      </c>
      <c r="I1" s="12"/>
      <c r="J1" s="12"/>
      <c r="K1" s="13" t="s">
        <v>163</v>
      </c>
      <c r="L1" s="13"/>
      <c r="M1" s="13"/>
      <c r="N1" s="13"/>
      <c r="O1" s="3" t="s">
        <v>164</v>
      </c>
      <c r="P1" s="4" t="s">
        <v>165</v>
      </c>
      <c r="Q1" s="14" t="s">
        <v>166</v>
      </c>
      <c r="R1" s="14"/>
      <c r="S1" s="14"/>
      <c r="T1" s="15" t="s">
        <v>167</v>
      </c>
      <c r="U1" s="15"/>
      <c r="V1" s="15"/>
      <c r="W1" s="15"/>
      <c r="X1" s="8" t="s">
        <v>168</v>
      </c>
    </row>
    <row r="2" spans="1:2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9" t="s">
        <v>23</v>
      </c>
      <c r="Y2" t="s">
        <v>169</v>
      </c>
      <c r="Z2" t="s">
        <v>170</v>
      </c>
      <c r="AA2" t="s">
        <v>171</v>
      </c>
    </row>
    <row r="3" spans="1:27" x14ac:dyDescent="0.35">
      <c r="A3" t="s">
        <v>30</v>
      </c>
      <c r="B3">
        <v>52</v>
      </c>
      <c r="C3">
        <v>6</v>
      </c>
      <c r="F3">
        <v>11</v>
      </c>
      <c r="G3">
        <v>28</v>
      </c>
      <c r="H3">
        <v>1394</v>
      </c>
      <c r="I3">
        <v>737</v>
      </c>
      <c r="K3">
        <v>97212</v>
      </c>
      <c r="L3">
        <v>3542</v>
      </c>
      <c r="N3">
        <v>1281</v>
      </c>
      <c r="O3">
        <v>8</v>
      </c>
      <c r="P3">
        <v>323</v>
      </c>
      <c r="Q3" s="1">
        <v>9.928509799087884E-2</v>
      </c>
      <c r="R3">
        <v>70</v>
      </c>
      <c r="S3">
        <v>5</v>
      </c>
      <c r="T3">
        <v>15</v>
      </c>
      <c r="U3">
        <v>1</v>
      </c>
      <c r="V3">
        <v>0</v>
      </c>
      <c r="W3" t="s">
        <v>98</v>
      </c>
      <c r="X3" s="9">
        <v>78.2</v>
      </c>
      <c r="Y3" s="5">
        <v>17250</v>
      </c>
      <c r="Z3" s="6">
        <v>27255</v>
      </c>
      <c r="AA3">
        <v>74</v>
      </c>
    </row>
    <row r="4" spans="1:27" x14ac:dyDescent="0.35">
      <c r="A4" t="s">
        <v>71</v>
      </c>
      <c r="B4">
        <v>26</v>
      </c>
      <c r="C4">
        <v>23</v>
      </c>
      <c r="F4">
        <v>5</v>
      </c>
      <c r="G4">
        <v>18</v>
      </c>
      <c r="H4">
        <v>73</v>
      </c>
      <c r="I4">
        <v>34</v>
      </c>
      <c r="K4">
        <v>136</v>
      </c>
      <c r="L4">
        <v>75</v>
      </c>
      <c r="N4">
        <v>74</v>
      </c>
      <c r="O4">
        <v>19</v>
      </c>
      <c r="P4">
        <v>64</v>
      </c>
      <c r="Q4" s="1">
        <v>0.79411764705882348</v>
      </c>
      <c r="R4">
        <v>2</v>
      </c>
      <c r="S4">
        <v>2</v>
      </c>
      <c r="T4">
        <v>2</v>
      </c>
      <c r="U4">
        <v>2670</v>
      </c>
      <c r="V4">
        <v>0</v>
      </c>
      <c r="W4" t="s">
        <v>139</v>
      </c>
      <c r="X4" s="9">
        <v>98.6</v>
      </c>
      <c r="Y4" s="5">
        <v>9600</v>
      </c>
      <c r="Z4" s="6">
        <v>15168</v>
      </c>
      <c r="AA4">
        <v>32</v>
      </c>
    </row>
    <row r="5" spans="1:27" x14ac:dyDescent="0.35">
      <c r="A5" t="s">
        <v>47</v>
      </c>
      <c r="B5">
        <v>28</v>
      </c>
      <c r="C5">
        <v>26</v>
      </c>
      <c r="F5">
        <v>8</v>
      </c>
      <c r="G5">
        <v>20</v>
      </c>
      <c r="H5">
        <v>226</v>
      </c>
      <c r="I5">
        <v>114</v>
      </c>
      <c r="K5">
        <v>20313</v>
      </c>
      <c r="L5">
        <v>1090</v>
      </c>
      <c r="N5">
        <v>252</v>
      </c>
      <c r="O5">
        <v>13</v>
      </c>
      <c r="P5">
        <v>61</v>
      </c>
      <c r="Q5" s="1">
        <v>0.98926795648107124</v>
      </c>
      <c r="R5">
        <v>90</v>
      </c>
      <c r="S5">
        <v>10</v>
      </c>
      <c r="T5">
        <v>12</v>
      </c>
      <c r="U5">
        <v>32</v>
      </c>
      <c r="V5">
        <v>5</v>
      </c>
      <c r="W5" t="s">
        <v>115</v>
      </c>
      <c r="X5" s="9">
        <v>100</v>
      </c>
      <c r="Y5" s="5">
        <v>8301</v>
      </c>
      <c r="Z5" s="6">
        <v>13115.58</v>
      </c>
      <c r="AA5">
        <v>81</v>
      </c>
    </row>
    <row r="6" spans="1:27" x14ac:dyDescent="0.35">
      <c r="A6" t="s">
        <v>50</v>
      </c>
      <c r="B6">
        <v>26</v>
      </c>
      <c r="C6">
        <v>24</v>
      </c>
      <c r="F6">
        <v>25</v>
      </c>
      <c r="G6">
        <v>18</v>
      </c>
      <c r="H6">
        <v>142</v>
      </c>
      <c r="I6">
        <v>61</v>
      </c>
      <c r="K6">
        <v>1895</v>
      </c>
      <c r="L6">
        <v>620</v>
      </c>
      <c r="N6">
        <v>152</v>
      </c>
      <c r="O6">
        <v>13</v>
      </c>
      <c r="P6">
        <v>10</v>
      </c>
      <c r="Q6" s="1">
        <v>0.98047493403693931</v>
      </c>
      <c r="R6">
        <v>13</v>
      </c>
      <c r="S6">
        <v>10</v>
      </c>
      <c r="T6">
        <v>23</v>
      </c>
      <c r="U6">
        <v>98</v>
      </c>
      <c r="V6">
        <v>2</v>
      </c>
      <c r="W6" t="s">
        <v>118</v>
      </c>
      <c r="X6" s="9">
        <v>99.8</v>
      </c>
      <c r="Y6" s="5">
        <v>5889</v>
      </c>
      <c r="Z6" s="6">
        <v>9304.6200000000008</v>
      </c>
      <c r="AA6">
        <v>37</v>
      </c>
    </row>
    <row r="7" spans="1:27" x14ac:dyDescent="0.35">
      <c r="A7" t="s">
        <v>64</v>
      </c>
      <c r="B7">
        <v>25</v>
      </c>
      <c r="C7">
        <v>14</v>
      </c>
      <c r="F7">
        <v>22</v>
      </c>
      <c r="G7">
        <v>14</v>
      </c>
      <c r="H7">
        <v>127</v>
      </c>
      <c r="I7">
        <v>32</v>
      </c>
      <c r="K7">
        <v>658</v>
      </c>
      <c r="L7">
        <v>45</v>
      </c>
      <c r="N7">
        <v>158</v>
      </c>
      <c r="O7">
        <v>16</v>
      </c>
      <c r="P7">
        <v>24</v>
      </c>
      <c r="Q7" s="1">
        <v>0.8277439024390244</v>
      </c>
      <c r="R7">
        <v>5</v>
      </c>
      <c r="S7">
        <v>1</v>
      </c>
      <c r="T7">
        <v>23</v>
      </c>
      <c r="U7">
        <v>1</v>
      </c>
      <c r="V7">
        <v>0</v>
      </c>
      <c r="W7" t="s">
        <v>132</v>
      </c>
      <c r="X7" s="9">
        <v>100</v>
      </c>
      <c r="Y7" s="5">
        <v>5000</v>
      </c>
      <c r="Z7" s="6">
        <v>7900</v>
      </c>
      <c r="AA7">
        <v>36</v>
      </c>
    </row>
    <row r="8" spans="1:27" x14ac:dyDescent="0.35">
      <c r="A8" t="s">
        <v>40</v>
      </c>
      <c r="B8">
        <v>41</v>
      </c>
      <c r="C8">
        <v>5</v>
      </c>
      <c r="F8">
        <v>11</v>
      </c>
      <c r="G8">
        <v>19</v>
      </c>
      <c r="H8">
        <v>270</v>
      </c>
      <c r="I8">
        <v>150</v>
      </c>
      <c r="K8">
        <v>5514</v>
      </c>
      <c r="L8">
        <v>1474</v>
      </c>
      <c r="N8">
        <v>306</v>
      </c>
      <c r="O8">
        <v>11</v>
      </c>
      <c r="P8">
        <v>186</v>
      </c>
      <c r="Q8" s="1">
        <v>0.93737520421129061</v>
      </c>
      <c r="R8">
        <v>20</v>
      </c>
      <c r="S8">
        <v>10</v>
      </c>
      <c r="T8">
        <v>15</v>
      </c>
      <c r="U8">
        <v>1</v>
      </c>
      <c r="V8">
        <v>0</v>
      </c>
      <c r="W8" t="s">
        <v>108</v>
      </c>
      <c r="X8" s="9">
        <v>99.5</v>
      </c>
      <c r="Y8" s="5">
        <v>4200</v>
      </c>
      <c r="Z8" s="6">
        <v>6636</v>
      </c>
      <c r="AA8">
        <v>86</v>
      </c>
    </row>
    <row r="9" spans="1:27" x14ac:dyDescent="0.35">
      <c r="A9" t="s">
        <v>39</v>
      </c>
      <c r="B9">
        <v>42</v>
      </c>
      <c r="C9">
        <v>5</v>
      </c>
      <c r="F9">
        <v>11</v>
      </c>
      <c r="G9">
        <v>18</v>
      </c>
      <c r="H9">
        <v>243</v>
      </c>
      <c r="I9">
        <v>123</v>
      </c>
      <c r="K9">
        <v>878</v>
      </c>
      <c r="L9">
        <v>458</v>
      </c>
      <c r="N9">
        <v>284</v>
      </c>
      <c r="O9">
        <v>11</v>
      </c>
      <c r="P9">
        <v>198</v>
      </c>
      <c r="Q9" s="1">
        <v>0.78424657534246578</v>
      </c>
      <c r="R9">
        <v>4</v>
      </c>
      <c r="S9">
        <v>4</v>
      </c>
      <c r="T9">
        <v>14</v>
      </c>
      <c r="U9">
        <v>1</v>
      </c>
      <c r="V9">
        <v>0</v>
      </c>
      <c r="W9" t="s">
        <v>107</v>
      </c>
      <c r="X9" s="9">
        <v>99.5</v>
      </c>
      <c r="Y9" s="5">
        <v>4050</v>
      </c>
      <c r="Z9" s="6">
        <v>6399</v>
      </c>
      <c r="AA9">
        <v>21</v>
      </c>
    </row>
    <row r="10" spans="1:27" x14ac:dyDescent="0.35">
      <c r="A10" t="s">
        <v>32</v>
      </c>
      <c r="B10">
        <v>26</v>
      </c>
      <c r="C10">
        <v>13</v>
      </c>
      <c r="F10">
        <v>11</v>
      </c>
      <c r="G10">
        <v>17</v>
      </c>
      <c r="H10">
        <v>205</v>
      </c>
      <c r="I10">
        <v>83</v>
      </c>
      <c r="K10">
        <v>596</v>
      </c>
      <c r="L10">
        <v>647</v>
      </c>
      <c r="N10">
        <v>181</v>
      </c>
      <c r="O10">
        <v>8</v>
      </c>
      <c r="P10">
        <v>33</v>
      </c>
      <c r="Q10" s="1">
        <v>0.3825503355704698</v>
      </c>
      <c r="R10">
        <v>3</v>
      </c>
      <c r="S10">
        <v>8</v>
      </c>
      <c r="T10">
        <v>23</v>
      </c>
      <c r="U10">
        <v>45</v>
      </c>
      <c r="V10">
        <v>0</v>
      </c>
      <c r="W10" t="s">
        <v>100</v>
      </c>
      <c r="X10" s="9">
        <v>94.6</v>
      </c>
      <c r="Y10" s="5">
        <v>3100</v>
      </c>
      <c r="Z10" s="6">
        <v>4898</v>
      </c>
      <c r="AA10">
        <v>45</v>
      </c>
    </row>
    <row r="11" spans="1:27" x14ac:dyDescent="0.35">
      <c r="A11" t="s">
        <v>75</v>
      </c>
      <c r="B11">
        <v>12</v>
      </c>
      <c r="C11">
        <v>11</v>
      </c>
      <c r="F11">
        <v>7</v>
      </c>
      <c r="G11">
        <v>15</v>
      </c>
      <c r="H11">
        <v>133</v>
      </c>
      <c r="I11">
        <v>46</v>
      </c>
      <c r="K11">
        <v>300</v>
      </c>
      <c r="L11">
        <v>80</v>
      </c>
      <c r="N11">
        <v>109</v>
      </c>
      <c r="O11">
        <v>19</v>
      </c>
      <c r="P11">
        <v>8</v>
      </c>
      <c r="Q11" s="1">
        <v>0.62333333333333329</v>
      </c>
      <c r="R11">
        <v>2</v>
      </c>
      <c r="S11">
        <v>2</v>
      </c>
      <c r="T11">
        <v>7</v>
      </c>
      <c r="U11">
        <v>25</v>
      </c>
      <c r="V11">
        <v>0</v>
      </c>
      <c r="W11" t="s">
        <v>143</v>
      </c>
      <c r="X11" s="9">
        <v>100</v>
      </c>
      <c r="Y11" s="5">
        <v>3050</v>
      </c>
      <c r="Z11" s="6">
        <v>4819</v>
      </c>
      <c r="AA11">
        <v>33</v>
      </c>
    </row>
    <row r="12" spans="1:27" x14ac:dyDescent="0.35">
      <c r="A12" t="s">
        <v>86</v>
      </c>
      <c r="B12">
        <v>35</v>
      </c>
      <c r="C12">
        <v>14</v>
      </c>
      <c r="F12">
        <v>12</v>
      </c>
      <c r="G12">
        <v>15</v>
      </c>
      <c r="H12">
        <v>110</v>
      </c>
      <c r="I12">
        <v>38</v>
      </c>
      <c r="K12">
        <v>401</v>
      </c>
      <c r="L12">
        <v>151</v>
      </c>
      <c r="N12">
        <v>131</v>
      </c>
      <c r="O12">
        <v>25</v>
      </c>
      <c r="P12">
        <v>86</v>
      </c>
      <c r="Q12" s="1">
        <v>0.38701298701298698</v>
      </c>
      <c r="R12">
        <v>4</v>
      </c>
      <c r="S12">
        <v>4</v>
      </c>
      <c r="T12">
        <v>11</v>
      </c>
      <c r="U12">
        <v>10</v>
      </c>
      <c r="V12">
        <v>0</v>
      </c>
      <c r="W12" t="s">
        <v>154</v>
      </c>
      <c r="X12" s="9">
        <v>98.6</v>
      </c>
      <c r="Y12" s="5">
        <v>2650</v>
      </c>
      <c r="Z12" s="6">
        <v>4187</v>
      </c>
      <c r="AA12">
        <v>29</v>
      </c>
    </row>
    <row r="13" spans="1:27" x14ac:dyDescent="0.35">
      <c r="A13" t="s">
        <v>84</v>
      </c>
      <c r="B13">
        <v>27</v>
      </c>
      <c r="C13">
        <v>5</v>
      </c>
      <c r="F13">
        <v>11</v>
      </c>
      <c r="G13">
        <v>17</v>
      </c>
      <c r="H13">
        <v>138</v>
      </c>
      <c r="I13">
        <v>85</v>
      </c>
      <c r="K13">
        <v>389</v>
      </c>
      <c r="L13">
        <v>107</v>
      </c>
      <c r="N13">
        <v>164</v>
      </c>
      <c r="O13">
        <v>24</v>
      </c>
      <c r="P13">
        <v>66</v>
      </c>
      <c r="Q13" s="1">
        <v>0.90769230769230769</v>
      </c>
      <c r="R13">
        <v>3</v>
      </c>
      <c r="S13">
        <v>1</v>
      </c>
      <c r="T13">
        <v>8</v>
      </c>
      <c r="U13">
        <v>1</v>
      </c>
      <c r="V13">
        <v>0</v>
      </c>
      <c r="W13" t="s">
        <v>152</v>
      </c>
      <c r="X13" s="9">
        <v>98.6</v>
      </c>
      <c r="Y13" s="5">
        <v>2275</v>
      </c>
      <c r="Z13" s="6">
        <v>3594.5</v>
      </c>
      <c r="AA13">
        <v>20</v>
      </c>
    </row>
    <row r="14" spans="1:27" x14ac:dyDescent="0.35">
      <c r="A14" t="s">
        <v>61</v>
      </c>
      <c r="B14">
        <v>27</v>
      </c>
      <c r="C14">
        <v>25</v>
      </c>
      <c r="F14">
        <v>7</v>
      </c>
      <c r="G14">
        <v>17</v>
      </c>
      <c r="H14">
        <v>162</v>
      </c>
      <c r="I14">
        <v>90</v>
      </c>
      <c r="K14">
        <v>244</v>
      </c>
      <c r="L14">
        <v>158</v>
      </c>
      <c r="N14">
        <v>171</v>
      </c>
      <c r="O14">
        <v>15</v>
      </c>
      <c r="P14">
        <v>62</v>
      </c>
      <c r="Q14" s="1">
        <v>0.83265306122448979</v>
      </c>
      <c r="R14">
        <v>2</v>
      </c>
      <c r="S14">
        <v>2</v>
      </c>
      <c r="T14">
        <v>16</v>
      </c>
      <c r="U14">
        <v>2</v>
      </c>
      <c r="V14">
        <v>3</v>
      </c>
      <c r="W14" t="s">
        <v>129</v>
      </c>
      <c r="X14" s="9">
        <v>93.9</v>
      </c>
      <c r="Y14" s="5">
        <v>2125</v>
      </c>
      <c r="Z14" s="6">
        <v>3357.5</v>
      </c>
      <c r="AA14">
        <v>72</v>
      </c>
    </row>
    <row r="15" spans="1:27" x14ac:dyDescent="0.35">
      <c r="A15" t="s">
        <v>51</v>
      </c>
      <c r="B15">
        <v>48</v>
      </c>
      <c r="C15">
        <v>6</v>
      </c>
      <c r="F15">
        <v>8</v>
      </c>
      <c r="G15">
        <v>22</v>
      </c>
      <c r="H15">
        <v>423</v>
      </c>
      <c r="I15">
        <v>205</v>
      </c>
      <c r="K15">
        <v>1611</v>
      </c>
      <c r="L15">
        <v>1533</v>
      </c>
      <c r="N15">
        <v>439</v>
      </c>
      <c r="O15">
        <v>13</v>
      </c>
      <c r="P15">
        <v>281</v>
      </c>
      <c r="Q15" s="1">
        <v>0.80111179740580607</v>
      </c>
      <c r="R15">
        <v>4</v>
      </c>
      <c r="S15">
        <v>7</v>
      </c>
      <c r="T15">
        <v>12</v>
      </c>
      <c r="U15">
        <v>1</v>
      </c>
      <c r="V15">
        <v>1</v>
      </c>
      <c r="W15" t="s">
        <v>119</v>
      </c>
      <c r="X15" s="9">
        <v>6.8</v>
      </c>
      <c r="Y15" s="5">
        <v>2025</v>
      </c>
      <c r="Z15" s="6">
        <v>3199.5</v>
      </c>
      <c r="AA15">
        <v>52</v>
      </c>
    </row>
    <row r="16" spans="1:27" x14ac:dyDescent="0.35">
      <c r="A16" t="s">
        <v>74</v>
      </c>
      <c r="B16">
        <v>28</v>
      </c>
      <c r="C16">
        <v>5</v>
      </c>
      <c r="F16">
        <v>26</v>
      </c>
      <c r="G16">
        <v>34</v>
      </c>
      <c r="H16">
        <v>242</v>
      </c>
      <c r="I16">
        <v>719</v>
      </c>
      <c r="K16">
        <v>1445</v>
      </c>
      <c r="L16">
        <v>1338</v>
      </c>
      <c r="N16">
        <v>271</v>
      </c>
      <c r="O16">
        <v>19</v>
      </c>
      <c r="P16">
        <v>120</v>
      </c>
      <c r="Q16" s="1">
        <v>0.25759668508287292</v>
      </c>
      <c r="R16">
        <v>6</v>
      </c>
      <c r="S16">
        <v>2</v>
      </c>
      <c r="T16">
        <v>21</v>
      </c>
      <c r="U16">
        <v>23</v>
      </c>
      <c r="V16">
        <v>1</v>
      </c>
      <c r="W16" t="s">
        <v>142</v>
      </c>
      <c r="X16" s="9">
        <v>95.1</v>
      </c>
      <c r="Y16" s="5">
        <v>1825</v>
      </c>
      <c r="Z16" s="6">
        <v>2883.5</v>
      </c>
      <c r="AA16">
        <v>40</v>
      </c>
    </row>
    <row r="17" spans="1:27" x14ac:dyDescent="0.35">
      <c r="A17" t="s">
        <v>62</v>
      </c>
      <c r="B17">
        <v>21</v>
      </c>
      <c r="C17">
        <v>5</v>
      </c>
      <c r="F17">
        <v>14</v>
      </c>
      <c r="G17">
        <v>15</v>
      </c>
      <c r="H17">
        <v>71</v>
      </c>
      <c r="I17">
        <v>33</v>
      </c>
      <c r="K17">
        <v>195</v>
      </c>
      <c r="L17">
        <v>82</v>
      </c>
      <c r="N17">
        <v>88</v>
      </c>
      <c r="O17">
        <v>16</v>
      </c>
      <c r="P17">
        <v>33</v>
      </c>
      <c r="Q17" s="1">
        <v>0.90769230769230769</v>
      </c>
      <c r="R17">
        <v>3</v>
      </c>
      <c r="S17">
        <v>2</v>
      </c>
      <c r="T17">
        <v>13</v>
      </c>
      <c r="U17">
        <v>1</v>
      </c>
      <c r="V17">
        <v>1</v>
      </c>
      <c r="W17" t="s">
        <v>130</v>
      </c>
      <c r="X17" s="9">
        <v>100</v>
      </c>
      <c r="Y17" s="5">
        <v>1775</v>
      </c>
      <c r="Z17" s="6">
        <v>2804.5</v>
      </c>
      <c r="AA17">
        <v>15</v>
      </c>
    </row>
    <row r="18" spans="1:27" x14ac:dyDescent="0.35">
      <c r="A18" t="s">
        <v>66</v>
      </c>
      <c r="B18">
        <v>17</v>
      </c>
      <c r="C18">
        <v>21</v>
      </c>
      <c r="F18">
        <v>8</v>
      </c>
      <c r="G18">
        <v>16</v>
      </c>
      <c r="H18">
        <v>158</v>
      </c>
      <c r="I18">
        <v>40</v>
      </c>
      <c r="K18">
        <v>435</v>
      </c>
      <c r="L18">
        <v>79</v>
      </c>
      <c r="N18">
        <v>99</v>
      </c>
      <c r="O18">
        <v>17</v>
      </c>
      <c r="P18">
        <v>22</v>
      </c>
      <c r="Q18" s="1">
        <v>0.8669724770642202</v>
      </c>
      <c r="R18">
        <v>3</v>
      </c>
      <c r="S18">
        <v>2</v>
      </c>
      <c r="T18">
        <v>7</v>
      </c>
      <c r="U18">
        <v>4540</v>
      </c>
      <c r="V18">
        <v>0</v>
      </c>
      <c r="W18" t="s">
        <v>134</v>
      </c>
      <c r="X18" s="9">
        <v>100</v>
      </c>
      <c r="Y18" s="5">
        <v>1575</v>
      </c>
      <c r="Z18" s="6">
        <v>2488.5</v>
      </c>
      <c r="AA18">
        <v>59</v>
      </c>
    </row>
    <row r="19" spans="1:27" x14ac:dyDescent="0.35">
      <c r="A19" t="s">
        <v>25</v>
      </c>
      <c r="B19">
        <v>25</v>
      </c>
      <c r="C19">
        <v>12</v>
      </c>
      <c r="F19">
        <v>22</v>
      </c>
      <c r="G19">
        <v>17</v>
      </c>
      <c r="H19">
        <v>185</v>
      </c>
      <c r="I19">
        <v>71</v>
      </c>
      <c r="K19">
        <v>237</v>
      </c>
      <c r="L19">
        <v>163</v>
      </c>
      <c r="N19">
        <v>130</v>
      </c>
      <c r="O19">
        <v>5</v>
      </c>
      <c r="P19">
        <v>24</v>
      </c>
      <c r="Q19" s="1">
        <v>0.83966244725738393</v>
      </c>
      <c r="R19">
        <v>1</v>
      </c>
      <c r="S19">
        <v>2</v>
      </c>
      <c r="T19">
        <v>20</v>
      </c>
      <c r="U19">
        <v>9</v>
      </c>
      <c r="V19">
        <v>0</v>
      </c>
      <c r="W19" t="s">
        <v>93</v>
      </c>
      <c r="X19" s="9">
        <v>71</v>
      </c>
      <c r="Y19" s="5">
        <v>1350</v>
      </c>
      <c r="Z19" s="6">
        <v>2133</v>
      </c>
      <c r="AA19">
        <v>50</v>
      </c>
    </row>
    <row r="20" spans="1:27" x14ac:dyDescent="0.35">
      <c r="A20" t="s">
        <v>57</v>
      </c>
      <c r="B20">
        <v>31</v>
      </c>
      <c r="C20">
        <v>5</v>
      </c>
      <c r="F20">
        <v>8</v>
      </c>
      <c r="G20">
        <v>16</v>
      </c>
      <c r="H20">
        <v>98</v>
      </c>
      <c r="I20">
        <v>42</v>
      </c>
      <c r="K20">
        <v>921</v>
      </c>
      <c r="L20">
        <v>2398</v>
      </c>
      <c r="N20">
        <v>127</v>
      </c>
      <c r="O20">
        <v>15</v>
      </c>
      <c r="P20">
        <v>102</v>
      </c>
      <c r="Q20" s="1">
        <v>0.97502714440825189</v>
      </c>
      <c r="R20">
        <v>9</v>
      </c>
      <c r="S20">
        <v>57</v>
      </c>
      <c r="T20">
        <v>9</v>
      </c>
      <c r="U20">
        <v>1</v>
      </c>
      <c r="V20">
        <v>0</v>
      </c>
      <c r="W20" t="s">
        <v>125</v>
      </c>
      <c r="X20" s="9">
        <v>99.9</v>
      </c>
      <c r="Y20" s="5">
        <v>1225</v>
      </c>
      <c r="Z20" s="6">
        <v>1935.5</v>
      </c>
      <c r="AA20">
        <v>24</v>
      </c>
    </row>
    <row r="21" spans="1:27" x14ac:dyDescent="0.35">
      <c r="A21" t="s">
        <v>42</v>
      </c>
      <c r="B21">
        <v>18</v>
      </c>
      <c r="C21">
        <v>19</v>
      </c>
      <c r="F21">
        <v>19</v>
      </c>
      <c r="G21">
        <v>17</v>
      </c>
      <c r="H21">
        <v>110</v>
      </c>
      <c r="I21">
        <v>25</v>
      </c>
      <c r="K21">
        <v>1264</v>
      </c>
      <c r="L21">
        <v>399</v>
      </c>
      <c r="N21">
        <v>118</v>
      </c>
      <c r="O21">
        <v>11</v>
      </c>
      <c r="P21">
        <v>1</v>
      </c>
      <c r="Q21" s="1">
        <v>0.90585443037974689</v>
      </c>
      <c r="R21">
        <v>11</v>
      </c>
      <c r="S21">
        <v>16</v>
      </c>
      <c r="T21">
        <v>20</v>
      </c>
      <c r="U21">
        <v>58</v>
      </c>
      <c r="V21">
        <v>3</v>
      </c>
      <c r="W21" t="s">
        <v>110</v>
      </c>
      <c r="X21" s="9">
        <v>88.7</v>
      </c>
      <c r="Y21" s="5">
        <v>1125</v>
      </c>
      <c r="Z21" s="6">
        <v>1777.5</v>
      </c>
      <c r="AA21">
        <v>20</v>
      </c>
    </row>
    <row r="22" spans="1:27" x14ac:dyDescent="0.35">
      <c r="A22" t="s">
        <v>27</v>
      </c>
      <c r="B22">
        <v>22</v>
      </c>
      <c r="C22">
        <v>9</v>
      </c>
      <c r="F22">
        <v>12</v>
      </c>
      <c r="G22">
        <v>14</v>
      </c>
      <c r="H22">
        <v>92</v>
      </c>
      <c r="I22">
        <v>35</v>
      </c>
      <c r="K22">
        <v>1035</v>
      </c>
      <c r="L22">
        <v>121</v>
      </c>
      <c r="N22">
        <v>115</v>
      </c>
      <c r="O22">
        <v>6</v>
      </c>
      <c r="P22">
        <v>23</v>
      </c>
      <c r="Q22" s="1">
        <v>0.74854932301740817</v>
      </c>
      <c r="R22">
        <v>11</v>
      </c>
      <c r="S22">
        <v>3</v>
      </c>
      <c r="T22">
        <v>14</v>
      </c>
      <c r="U22">
        <v>1</v>
      </c>
      <c r="V22">
        <v>1</v>
      </c>
      <c r="W22" t="s">
        <v>95</v>
      </c>
      <c r="X22" s="9">
        <v>98.7</v>
      </c>
      <c r="Y22" s="5">
        <v>1025</v>
      </c>
      <c r="Z22" s="6">
        <v>1619.5</v>
      </c>
      <c r="AA22">
        <v>28</v>
      </c>
    </row>
    <row r="23" spans="1:27" x14ac:dyDescent="0.35">
      <c r="A23" t="s">
        <v>44</v>
      </c>
      <c r="B23">
        <v>20</v>
      </c>
      <c r="C23">
        <v>10</v>
      </c>
      <c r="F23">
        <v>12</v>
      </c>
      <c r="G23">
        <v>12</v>
      </c>
      <c r="H23">
        <v>123</v>
      </c>
      <c r="I23">
        <v>25</v>
      </c>
      <c r="K23">
        <v>188</v>
      </c>
      <c r="L23">
        <v>41</v>
      </c>
      <c r="N23">
        <v>96</v>
      </c>
      <c r="O23">
        <v>12</v>
      </c>
      <c r="P23">
        <v>15</v>
      </c>
      <c r="Q23" s="1">
        <v>0.82978723404255317</v>
      </c>
      <c r="R23">
        <v>2</v>
      </c>
      <c r="S23">
        <v>2</v>
      </c>
      <c r="T23">
        <v>18</v>
      </c>
      <c r="U23">
        <v>43</v>
      </c>
      <c r="V23">
        <v>2</v>
      </c>
      <c r="W23" t="s">
        <v>112</v>
      </c>
      <c r="X23" s="9">
        <v>100</v>
      </c>
      <c r="Y23" s="5">
        <v>1000</v>
      </c>
      <c r="Z23" s="6">
        <v>1580</v>
      </c>
      <c r="AA23">
        <v>15</v>
      </c>
    </row>
    <row r="24" spans="1:27" x14ac:dyDescent="0.35">
      <c r="A24" t="s">
        <v>36</v>
      </c>
      <c r="B24">
        <v>32</v>
      </c>
      <c r="C24">
        <v>13</v>
      </c>
      <c r="F24">
        <v>11</v>
      </c>
      <c r="G24">
        <v>16</v>
      </c>
      <c r="H24">
        <v>172</v>
      </c>
      <c r="I24">
        <v>92</v>
      </c>
      <c r="K24">
        <v>788</v>
      </c>
      <c r="L24">
        <v>122</v>
      </c>
      <c r="N24">
        <v>173</v>
      </c>
      <c r="O24">
        <v>10</v>
      </c>
      <c r="P24">
        <v>68</v>
      </c>
      <c r="Q24" s="1">
        <v>0.69554140127388531</v>
      </c>
      <c r="R24">
        <v>5</v>
      </c>
      <c r="S24">
        <v>1</v>
      </c>
      <c r="T24">
        <v>25</v>
      </c>
      <c r="U24">
        <v>86</v>
      </c>
      <c r="V24">
        <v>0</v>
      </c>
      <c r="W24" t="s">
        <v>104</v>
      </c>
      <c r="X24" s="9">
        <v>70.3</v>
      </c>
      <c r="Y24">
        <v>908</v>
      </c>
      <c r="Z24" s="6">
        <v>1434.64</v>
      </c>
      <c r="AA24">
        <v>15</v>
      </c>
    </row>
    <row r="25" spans="1:27" x14ac:dyDescent="0.35">
      <c r="A25" t="s">
        <v>56</v>
      </c>
      <c r="B25">
        <v>25</v>
      </c>
      <c r="C25">
        <v>13</v>
      </c>
      <c r="F25">
        <v>11</v>
      </c>
      <c r="G25">
        <v>17</v>
      </c>
      <c r="H25">
        <v>172</v>
      </c>
      <c r="I25">
        <v>63</v>
      </c>
      <c r="K25">
        <v>452</v>
      </c>
      <c r="L25">
        <v>200</v>
      </c>
      <c r="N25">
        <v>168</v>
      </c>
      <c r="O25">
        <v>14</v>
      </c>
      <c r="P25">
        <v>29</v>
      </c>
      <c r="Q25" s="1">
        <v>0.59139784946236562</v>
      </c>
      <c r="R25">
        <v>3</v>
      </c>
      <c r="S25">
        <v>3</v>
      </c>
      <c r="T25">
        <v>5</v>
      </c>
      <c r="U25">
        <v>1</v>
      </c>
      <c r="V25">
        <v>2</v>
      </c>
      <c r="W25" t="s">
        <v>124</v>
      </c>
      <c r="X25" s="9">
        <v>99.4</v>
      </c>
      <c r="Y25">
        <v>760</v>
      </c>
      <c r="Z25" s="6">
        <v>1200.8</v>
      </c>
      <c r="AA25">
        <v>16</v>
      </c>
    </row>
    <row r="26" spans="1:27" x14ac:dyDescent="0.35">
      <c r="A26" t="s">
        <v>67</v>
      </c>
      <c r="B26">
        <v>21</v>
      </c>
      <c r="C26">
        <v>5</v>
      </c>
      <c r="F26">
        <v>6</v>
      </c>
      <c r="G26">
        <v>17</v>
      </c>
      <c r="H26">
        <v>112</v>
      </c>
      <c r="I26">
        <v>69</v>
      </c>
      <c r="K26">
        <v>217</v>
      </c>
      <c r="L26">
        <v>135</v>
      </c>
      <c r="N26">
        <v>114</v>
      </c>
      <c r="O26">
        <v>17</v>
      </c>
      <c r="P26">
        <v>48</v>
      </c>
      <c r="Q26" s="1">
        <v>0.83410138248847931</v>
      </c>
      <c r="R26">
        <v>2</v>
      </c>
      <c r="S26">
        <v>2</v>
      </c>
      <c r="T26">
        <v>17</v>
      </c>
      <c r="U26">
        <v>25</v>
      </c>
      <c r="V26">
        <v>0</v>
      </c>
      <c r="W26" t="s">
        <v>135</v>
      </c>
      <c r="X26" s="9">
        <v>100</v>
      </c>
      <c r="Y26">
        <v>573</v>
      </c>
      <c r="Z26">
        <v>905.34</v>
      </c>
      <c r="AA26">
        <v>9</v>
      </c>
    </row>
    <row r="27" spans="1:27" x14ac:dyDescent="0.35">
      <c r="A27" t="s">
        <v>41</v>
      </c>
      <c r="B27">
        <v>16</v>
      </c>
      <c r="C27">
        <v>14</v>
      </c>
      <c r="F27">
        <v>16</v>
      </c>
      <c r="G27">
        <v>15</v>
      </c>
      <c r="H27">
        <v>72</v>
      </c>
      <c r="I27">
        <v>27</v>
      </c>
      <c r="K27">
        <v>361</v>
      </c>
      <c r="L27">
        <v>59</v>
      </c>
      <c r="N27">
        <v>89</v>
      </c>
      <c r="O27">
        <v>11</v>
      </c>
      <c r="P27">
        <v>1</v>
      </c>
      <c r="Q27" s="1">
        <v>0.40607734806629842</v>
      </c>
      <c r="R27">
        <v>5</v>
      </c>
      <c r="S27">
        <v>2</v>
      </c>
      <c r="T27">
        <v>13</v>
      </c>
      <c r="U27">
        <v>10</v>
      </c>
      <c r="V27">
        <v>2</v>
      </c>
      <c r="W27" t="s">
        <v>109</v>
      </c>
      <c r="X27" s="9">
        <v>89.2</v>
      </c>
      <c r="Y27">
        <v>155</v>
      </c>
      <c r="Z27">
        <v>244.9</v>
      </c>
      <c r="AA27">
        <v>5</v>
      </c>
    </row>
    <row r="28" spans="1:27" x14ac:dyDescent="0.35">
      <c r="A28" t="s">
        <v>34</v>
      </c>
      <c r="B28">
        <v>22</v>
      </c>
      <c r="C28">
        <v>12</v>
      </c>
      <c r="F28">
        <v>18</v>
      </c>
      <c r="G28">
        <v>17</v>
      </c>
      <c r="H28">
        <v>84</v>
      </c>
      <c r="I28">
        <v>73</v>
      </c>
      <c r="K28">
        <v>232</v>
      </c>
      <c r="L28">
        <v>188</v>
      </c>
      <c r="N28">
        <v>102</v>
      </c>
      <c r="O28">
        <v>9</v>
      </c>
      <c r="P28">
        <v>13</v>
      </c>
      <c r="Q28" s="1">
        <v>0.69827586206896552</v>
      </c>
      <c r="R28">
        <v>3</v>
      </c>
      <c r="S28">
        <v>3</v>
      </c>
      <c r="T28">
        <v>18</v>
      </c>
      <c r="U28">
        <v>1</v>
      </c>
      <c r="V28">
        <v>0</v>
      </c>
      <c r="W28" t="s">
        <v>102</v>
      </c>
      <c r="X28" s="9">
        <v>96.2</v>
      </c>
      <c r="Y28">
        <v>205</v>
      </c>
      <c r="Z28">
        <v>323.89999999999998</v>
      </c>
      <c r="AA28">
        <v>3</v>
      </c>
    </row>
    <row r="29" spans="1:27" x14ac:dyDescent="0.35">
      <c r="A29" t="s">
        <v>85</v>
      </c>
      <c r="B29">
        <v>10</v>
      </c>
      <c r="C29">
        <v>12</v>
      </c>
      <c r="F29">
        <v>11</v>
      </c>
      <c r="G29">
        <v>15</v>
      </c>
      <c r="H29">
        <v>70</v>
      </c>
      <c r="I29">
        <v>49</v>
      </c>
      <c r="K29">
        <v>98</v>
      </c>
      <c r="L29">
        <v>50</v>
      </c>
      <c r="N29">
        <v>69</v>
      </c>
      <c r="O29">
        <v>25</v>
      </c>
      <c r="P29">
        <v>4</v>
      </c>
      <c r="Q29" s="1">
        <v>0.86734693877551017</v>
      </c>
      <c r="R29">
        <v>1</v>
      </c>
      <c r="S29">
        <v>1</v>
      </c>
      <c r="T29">
        <v>11</v>
      </c>
      <c r="U29">
        <v>9</v>
      </c>
      <c r="V29">
        <v>2</v>
      </c>
      <c r="W29" t="s">
        <v>153</v>
      </c>
      <c r="X29" s="9">
        <v>100</v>
      </c>
      <c r="Y29">
        <v>63</v>
      </c>
      <c r="Z29">
        <v>99.54</v>
      </c>
      <c r="AA29">
        <v>6</v>
      </c>
    </row>
    <row r="30" spans="1:27" x14ac:dyDescent="0.35">
      <c r="A30" t="s">
        <v>54</v>
      </c>
      <c r="B30">
        <v>16</v>
      </c>
      <c r="C30">
        <v>11</v>
      </c>
      <c r="F30">
        <v>10</v>
      </c>
      <c r="G30">
        <v>14</v>
      </c>
      <c r="H30">
        <v>138</v>
      </c>
      <c r="I30">
        <v>65</v>
      </c>
      <c r="K30">
        <v>203</v>
      </c>
      <c r="L30">
        <v>104</v>
      </c>
      <c r="N30">
        <v>142</v>
      </c>
      <c r="O30">
        <v>13</v>
      </c>
      <c r="P30">
        <v>6</v>
      </c>
      <c r="Q30" s="1">
        <v>0.65517241379310343</v>
      </c>
      <c r="R30">
        <v>1</v>
      </c>
      <c r="S30">
        <v>2</v>
      </c>
      <c r="T30">
        <v>8</v>
      </c>
      <c r="U30">
        <v>10</v>
      </c>
      <c r="V30">
        <v>6</v>
      </c>
      <c r="W30" t="s">
        <v>122</v>
      </c>
      <c r="X30" s="9">
        <v>89.6</v>
      </c>
      <c r="Y30">
        <v>55</v>
      </c>
      <c r="Z30">
        <v>86.9</v>
      </c>
      <c r="AA30">
        <v>5</v>
      </c>
    </row>
    <row r="31" spans="1:27" x14ac:dyDescent="0.35">
      <c r="A31" t="s">
        <v>69</v>
      </c>
      <c r="B31">
        <v>13</v>
      </c>
      <c r="C31">
        <v>10</v>
      </c>
      <c r="F31">
        <v>6</v>
      </c>
      <c r="G31">
        <v>10</v>
      </c>
      <c r="H31">
        <v>59</v>
      </c>
      <c r="I31">
        <v>50</v>
      </c>
      <c r="K31">
        <v>78</v>
      </c>
      <c r="L31">
        <v>69</v>
      </c>
      <c r="N31">
        <v>59</v>
      </c>
      <c r="O31">
        <v>18</v>
      </c>
      <c r="P31">
        <v>6</v>
      </c>
      <c r="Q31" s="1">
        <v>0.74358974358974361</v>
      </c>
      <c r="R31">
        <v>1</v>
      </c>
      <c r="S31">
        <v>1</v>
      </c>
      <c r="T31">
        <v>13</v>
      </c>
      <c r="U31">
        <v>3</v>
      </c>
      <c r="V31">
        <v>0</v>
      </c>
      <c r="W31" t="s">
        <v>137</v>
      </c>
      <c r="X31" s="9">
        <v>100</v>
      </c>
      <c r="Y31">
        <v>305</v>
      </c>
      <c r="Z31">
        <v>481.9</v>
      </c>
      <c r="AA31">
        <v>7</v>
      </c>
    </row>
    <row r="32" spans="1:27" x14ac:dyDescent="0.35">
      <c r="A32" t="s">
        <v>35</v>
      </c>
      <c r="B32">
        <v>18</v>
      </c>
      <c r="C32">
        <v>8</v>
      </c>
      <c r="F32">
        <v>8</v>
      </c>
      <c r="G32">
        <v>14</v>
      </c>
      <c r="H32">
        <v>70</v>
      </c>
      <c r="I32">
        <v>34</v>
      </c>
      <c r="K32">
        <v>375</v>
      </c>
      <c r="L32">
        <v>77</v>
      </c>
      <c r="N32">
        <v>73</v>
      </c>
      <c r="O32">
        <v>9</v>
      </c>
      <c r="P32">
        <v>18</v>
      </c>
      <c r="Q32" s="1">
        <v>0.95199999999999996</v>
      </c>
      <c r="R32">
        <v>5</v>
      </c>
      <c r="S32">
        <v>2</v>
      </c>
      <c r="T32">
        <v>22</v>
      </c>
      <c r="U32">
        <v>1</v>
      </c>
      <c r="V32">
        <v>0</v>
      </c>
      <c r="W32" t="s">
        <v>103</v>
      </c>
      <c r="X32" s="9">
        <v>96.1</v>
      </c>
      <c r="Y32">
        <v>165</v>
      </c>
      <c r="Z32">
        <v>260.7</v>
      </c>
      <c r="AA32">
        <v>28</v>
      </c>
    </row>
    <row r="33" spans="1:27" x14ac:dyDescent="0.35">
      <c r="A33" t="s">
        <v>49</v>
      </c>
      <c r="B33">
        <v>12</v>
      </c>
      <c r="C33">
        <v>8</v>
      </c>
      <c r="F33">
        <v>12</v>
      </c>
      <c r="G33">
        <v>13</v>
      </c>
      <c r="H33">
        <v>74</v>
      </c>
      <c r="I33">
        <v>30</v>
      </c>
      <c r="K33">
        <v>205</v>
      </c>
      <c r="L33">
        <v>74</v>
      </c>
      <c r="N33">
        <v>70</v>
      </c>
      <c r="O33">
        <v>13</v>
      </c>
      <c r="P33">
        <v>4</v>
      </c>
      <c r="Q33" s="1">
        <v>0.57352941176470584</v>
      </c>
      <c r="R33">
        <v>3</v>
      </c>
      <c r="S33">
        <v>2</v>
      </c>
      <c r="T33">
        <v>7</v>
      </c>
      <c r="U33">
        <v>1</v>
      </c>
      <c r="V33">
        <v>0</v>
      </c>
      <c r="W33" t="s">
        <v>117</v>
      </c>
      <c r="X33" s="9">
        <v>100</v>
      </c>
      <c r="Y33">
        <v>325</v>
      </c>
      <c r="Z33">
        <v>513.5</v>
      </c>
      <c r="AA33">
        <v>5</v>
      </c>
    </row>
    <row r="34" spans="1:27" x14ac:dyDescent="0.35">
      <c r="A34" t="s">
        <v>91</v>
      </c>
      <c r="B34">
        <v>35</v>
      </c>
      <c r="C34">
        <v>7</v>
      </c>
      <c r="F34">
        <v>12</v>
      </c>
      <c r="G34">
        <v>21</v>
      </c>
      <c r="H34">
        <v>192</v>
      </c>
      <c r="I34">
        <v>37</v>
      </c>
      <c r="K34">
        <v>2080</v>
      </c>
      <c r="L34">
        <v>920</v>
      </c>
      <c r="N34">
        <v>99</v>
      </c>
      <c r="O34">
        <v>29</v>
      </c>
      <c r="P34">
        <v>113</v>
      </c>
      <c r="Q34" s="1">
        <v>0.96346153846153848</v>
      </c>
      <c r="R34">
        <v>11</v>
      </c>
      <c r="S34">
        <v>25</v>
      </c>
      <c r="T34">
        <v>22</v>
      </c>
      <c r="U34">
        <v>22</v>
      </c>
      <c r="V34">
        <v>2</v>
      </c>
      <c r="W34" t="s">
        <v>159</v>
      </c>
      <c r="X34" s="9">
        <v>65</v>
      </c>
      <c r="Y34">
        <v>195</v>
      </c>
      <c r="Z34">
        <v>308.10000000000002</v>
      </c>
      <c r="AA34">
        <v>19</v>
      </c>
    </row>
    <row r="35" spans="1:27" x14ac:dyDescent="0.35">
      <c r="A35" t="s">
        <v>80</v>
      </c>
      <c r="B35">
        <v>29</v>
      </c>
      <c r="C35">
        <v>7</v>
      </c>
      <c r="F35">
        <v>8</v>
      </c>
      <c r="G35">
        <v>18</v>
      </c>
      <c r="H35">
        <v>307</v>
      </c>
      <c r="I35">
        <v>67</v>
      </c>
      <c r="K35">
        <v>7731</v>
      </c>
      <c r="L35">
        <v>854</v>
      </c>
      <c r="N35">
        <v>130</v>
      </c>
      <c r="O35">
        <v>23</v>
      </c>
      <c r="P35">
        <v>79</v>
      </c>
      <c r="Q35" s="1">
        <v>0.85758593951925566</v>
      </c>
      <c r="R35">
        <v>25</v>
      </c>
      <c r="S35">
        <v>13</v>
      </c>
      <c r="T35">
        <v>13</v>
      </c>
      <c r="U35">
        <v>529</v>
      </c>
      <c r="V35">
        <v>1</v>
      </c>
      <c r="W35" t="s">
        <v>148</v>
      </c>
      <c r="X35" s="9">
        <v>0.7</v>
      </c>
      <c r="Y35">
        <v>260</v>
      </c>
      <c r="Z35">
        <v>410.8</v>
      </c>
      <c r="AA35">
        <v>9</v>
      </c>
    </row>
    <row r="36" spans="1:27" x14ac:dyDescent="0.35">
      <c r="A36" t="s">
        <v>87</v>
      </c>
      <c r="B36">
        <v>39</v>
      </c>
      <c r="C36">
        <v>6</v>
      </c>
      <c r="F36">
        <v>13</v>
      </c>
      <c r="G36">
        <v>27</v>
      </c>
      <c r="H36">
        <v>407</v>
      </c>
      <c r="I36">
        <v>185</v>
      </c>
      <c r="K36">
        <v>2737</v>
      </c>
      <c r="L36">
        <v>832</v>
      </c>
      <c r="N36">
        <v>463</v>
      </c>
      <c r="O36">
        <v>26</v>
      </c>
      <c r="P36">
        <v>162</v>
      </c>
      <c r="Q36" s="1">
        <v>0.60351133869787854</v>
      </c>
      <c r="R36">
        <v>7</v>
      </c>
      <c r="S36">
        <v>4</v>
      </c>
      <c r="T36">
        <v>12</v>
      </c>
      <c r="U36">
        <v>2</v>
      </c>
      <c r="V36">
        <v>0</v>
      </c>
      <c r="W36" t="s">
        <v>155</v>
      </c>
      <c r="X36" s="9">
        <v>80.5</v>
      </c>
      <c r="Y36">
        <v>115</v>
      </c>
      <c r="Z36">
        <v>181.7</v>
      </c>
      <c r="AA36">
        <v>17</v>
      </c>
    </row>
    <row r="37" spans="1:27" x14ac:dyDescent="0.35">
      <c r="A37" t="s">
        <v>55</v>
      </c>
      <c r="B37">
        <v>32</v>
      </c>
      <c r="C37">
        <v>6</v>
      </c>
      <c r="F37">
        <v>7</v>
      </c>
      <c r="G37">
        <v>11</v>
      </c>
      <c r="H37">
        <v>151</v>
      </c>
      <c r="I37">
        <v>61</v>
      </c>
      <c r="K37">
        <v>8611</v>
      </c>
      <c r="L37">
        <v>274</v>
      </c>
      <c r="N37">
        <v>143</v>
      </c>
      <c r="O37">
        <v>14</v>
      </c>
      <c r="P37">
        <v>112</v>
      </c>
      <c r="Q37" s="1">
        <v>0.99001045417586242</v>
      </c>
      <c r="R37">
        <v>57</v>
      </c>
      <c r="S37">
        <v>4</v>
      </c>
      <c r="T37">
        <v>13</v>
      </c>
      <c r="U37">
        <v>1</v>
      </c>
      <c r="V37">
        <v>0</v>
      </c>
      <c r="W37" t="s">
        <v>123</v>
      </c>
      <c r="X37" s="9">
        <v>15.4</v>
      </c>
      <c r="Y37">
        <v>211</v>
      </c>
      <c r="Z37">
        <v>333.38</v>
      </c>
      <c r="AA37">
        <v>5</v>
      </c>
    </row>
    <row r="38" spans="1:27" x14ac:dyDescent="0.35">
      <c r="A38" t="s">
        <v>65</v>
      </c>
      <c r="B38">
        <v>27</v>
      </c>
      <c r="C38">
        <v>6</v>
      </c>
      <c r="F38">
        <v>16</v>
      </c>
      <c r="G38">
        <v>16</v>
      </c>
      <c r="H38">
        <v>131</v>
      </c>
      <c r="I38">
        <v>40</v>
      </c>
      <c r="K38">
        <v>388</v>
      </c>
      <c r="L38">
        <v>254</v>
      </c>
      <c r="N38">
        <v>130</v>
      </c>
      <c r="O38">
        <v>16</v>
      </c>
      <c r="P38">
        <v>55</v>
      </c>
      <c r="Q38" s="1">
        <v>0.7109375</v>
      </c>
      <c r="R38">
        <v>3</v>
      </c>
      <c r="S38">
        <v>6</v>
      </c>
      <c r="T38">
        <v>19</v>
      </c>
      <c r="U38">
        <v>0</v>
      </c>
      <c r="V38">
        <v>2</v>
      </c>
      <c r="W38" t="s">
        <v>133</v>
      </c>
      <c r="X38" s="9">
        <v>98.8</v>
      </c>
      <c r="Y38">
        <v>270</v>
      </c>
      <c r="Z38">
        <v>426.6</v>
      </c>
      <c r="AA38">
        <v>6</v>
      </c>
    </row>
    <row r="39" spans="1:27" x14ac:dyDescent="0.35">
      <c r="A39" t="s">
        <v>60</v>
      </c>
      <c r="B39">
        <v>19</v>
      </c>
      <c r="C39">
        <v>6</v>
      </c>
      <c r="F39">
        <v>8</v>
      </c>
      <c r="G39">
        <v>18</v>
      </c>
      <c r="H39">
        <v>532</v>
      </c>
      <c r="I39">
        <v>229</v>
      </c>
      <c r="K39">
        <v>1248</v>
      </c>
      <c r="L39">
        <v>421</v>
      </c>
      <c r="N39">
        <v>435</v>
      </c>
      <c r="O39">
        <v>15</v>
      </c>
      <c r="P39">
        <v>34</v>
      </c>
      <c r="Q39" s="1">
        <v>0.59101844426623895</v>
      </c>
      <c r="R39">
        <v>2</v>
      </c>
      <c r="S39">
        <v>2</v>
      </c>
      <c r="T39">
        <v>7</v>
      </c>
      <c r="U39">
        <v>54</v>
      </c>
      <c r="V39">
        <v>0</v>
      </c>
      <c r="W39" t="s">
        <v>128</v>
      </c>
      <c r="X39" s="9">
        <v>96.8</v>
      </c>
      <c r="Y39">
        <v>155</v>
      </c>
      <c r="Z39">
        <v>244.9</v>
      </c>
      <c r="AA39">
        <v>9</v>
      </c>
    </row>
    <row r="40" spans="1:27" x14ac:dyDescent="0.35">
      <c r="A40" t="s">
        <v>90</v>
      </c>
      <c r="B40">
        <v>15</v>
      </c>
      <c r="C40">
        <v>6</v>
      </c>
      <c r="F40">
        <v>8</v>
      </c>
      <c r="G40">
        <v>12</v>
      </c>
      <c r="H40">
        <v>96</v>
      </c>
      <c r="I40">
        <v>37</v>
      </c>
      <c r="K40">
        <v>284</v>
      </c>
      <c r="L40">
        <v>68</v>
      </c>
      <c r="N40">
        <v>75</v>
      </c>
      <c r="O40">
        <v>28</v>
      </c>
      <c r="P40">
        <v>12</v>
      </c>
      <c r="Q40" s="1">
        <v>0.24381625441696109</v>
      </c>
      <c r="R40">
        <v>3</v>
      </c>
      <c r="S40">
        <v>2</v>
      </c>
      <c r="T40">
        <v>21</v>
      </c>
      <c r="U40">
        <v>48</v>
      </c>
      <c r="V40">
        <v>2</v>
      </c>
      <c r="W40" t="s">
        <v>158</v>
      </c>
      <c r="X40" s="9">
        <v>100</v>
      </c>
      <c r="Y40">
        <v>305</v>
      </c>
      <c r="Z40">
        <v>481.9</v>
      </c>
      <c r="AA40">
        <v>13</v>
      </c>
    </row>
    <row r="41" spans="1:27" x14ac:dyDescent="0.35">
      <c r="A41" t="s">
        <v>26</v>
      </c>
      <c r="B41">
        <v>39</v>
      </c>
      <c r="C41">
        <v>5</v>
      </c>
      <c r="F41">
        <v>13</v>
      </c>
      <c r="G41">
        <v>23</v>
      </c>
      <c r="H41">
        <v>641</v>
      </c>
      <c r="I41">
        <v>350</v>
      </c>
      <c r="K41">
        <v>4746</v>
      </c>
      <c r="L41">
        <v>2070</v>
      </c>
      <c r="N41">
        <v>696</v>
      </c>
      <c r="O41">
        <v>6</v>
      </c>
      <c r="P41">
        <v>161</v>
      </c>
      <c r="Q41" s="1">
        <v>0.90261382799325462</v>
      </c>
      <c r="R41">
        <v>7</v>
      </c>
      <c r="S41">
        <v>6</v>
      </c>
      <c r="T41">
        <v>24</v>
      </c>
      <c r="U41">
        <v>0</v>
      </c>
      <c r="V41">
        <v>0</v>
      </c>
      <c r="W41" t="s">
        <v>94</v>
      </c>
      <c r="X41" s="9">
        <v>54</v>
      </c>
      <c r="Y41">
        <v>153</v>
      </c>
      <c r="Z41">
        <v>241.74</v>
      </c>
      <c r="AA41">
        <v>20</v>
      </c>
    </row>
    <row r="42" spans="1:27" x14ac:dyDescent="0.35">
      <c r="A42" t="s">
        <v>28</v>
      </c>
      <c r="B42">
        <v>32</v>
      </c>
      <c r="C42">
        <v>5</v>
      </c>
      <c r="F42">
        <v>10</v>
      </c>
      <c r="G42">
        <v>19</v>
      </c>
      <c r="H42">
        <v>254</v>
      </c>
      <c r="I42">
        <v>125</v>
      </c>
      <c r="K42">
        <v>1006</v>
      </c>
      <c r="L42">
        <v>1179</v>
      </c>
      <c r="N42">
        <v>226</v>
      </c>
      <c r="O42">
        <v>7</v>
      </c>
      <c r="P42">
        <v>105</v>
      </c>
      <c r="Q42" s="1">
        <v>0.68520357497517381</v>
      </c>
      <c r="R42">
        <v>4</v>
      </c>
      <c r="S42">
        <v>9</v>
      </c>
      <c r="T42">
        <v>14</v>
      </c>
      <c r="U42">
        <v>1</v>
      </c>
      <c r="V42">
        <v>1</v>
      </c>
      <c r="W42" t="s">
        <v>96</v>
      </c>
      <c r="X42" s="9">
        <v>92.3</v>
      </c>
      <c r="Y42">
        <v>205</v>
      </c>
      <c r="Z42">
        <v>323.89999999999998</v>
      </c>
      <c r="AA42">
        <v>3</v>
      </c>
    </row>
    <row r="43" spans="1:27" x14ac:dyDescent="0.35">
      <c r="A43" t="s">
        <v>81</v>
      </c>
      <c r="B43">
        <v>33</v>
      </c>
      <c r="C43">
        <v>5</v>
      </c>
      <c r="F43">
        <v>14</v>
      </c>
      <c r="G43">
        <v>15</v>
      </c>
      <c r="H43">
        <v>137</v>
      </c>
      <c r="I43">
        <v>95</v>
      </c>
      <c r="K43">
        <v>602</v>
      </c>
      <c r="L43">
        <v>305</v>
      </c>
      <c r="N43">
        <v>171</v>
      </c>
      <c r="O43">
        <v>24</v>
      </c>
      <c r="P43">
        <v>103</v>
      </c>
      <c r="Q43" s="1">
        <v>0.51747088186356072</v>
      </c>
      <c r="R43">
        <v>4</v>
      </c>
      <c r="S43">
        <v>3</v>
      </c>
      <c r="T43">
        <v>13</v>
      </c>
      <c r="U43">
        <v>2</v>
      </c>
      <c r="V43">
        <v>0</v>
      </c>
      <c r="W43" t="s">
        <v>149</v>
      </c>
      <c r="X43" s="9">
        <v>95.3</v>
      </c>
      <c r="Y43">
        <v>285</v>
      </c>
      <c r="Z43">
        <v>450.3</v>
      </c>
      <c r="AA43">
        <v>9</v>
      </c>
    </row>
    <row r="44" spans="1:27" x14ac:dyDescent="0.35">
      <c r="A44" t="s">
        <v>24</v>
      </c>
      <c r="B44">
        <v>29</v>
      </c>
      <c r="C44">
        <v>5</v>
      </c>
      <c r="F44">
        <v>16</v>
      </c>
      <c r="G44">
        <v>18</v>
      </c>
      <c r="H44">
        <v>153</v>
      </c>
      <c r="I44">
        <v>89</v>
      </c>
      <c r="K44">
        <v>743</v>
      </c>
      <c r="L44">
        <v>251</v>
      </c>
      <c r="N44">
        <v>168</v>
      </c>
      <c r="O44">
        <v>4</v>
      </c>
      <c r="P44">
        <v>72</v>
      </c>
      <c r="Q44" s="1">
        <v>0.65948855989232835</v>
      </c>
      <c r="R44">
        <v>5</v>
      </c>
      <c r="S44">
        <v>3</v>
      </c>
      <c r="T44">
        <v>25</v>
      </c>
      <c r="U44">
        <v>1</v>
      </c>
      <c r="V44">
        <v>2</v>
      </c>
      <c r="W44" t="s">
        <v>92</v>
      </c>
      <c r="X44" s="9">
        <v>36.4</v>
      </c>
      <c r="Y44">
        <v>362</v>
      </c>
      <c r="Z44">
        <v>572.96</v>
      </c>
      <c r="AA44">
        <v>13</v>
      </c>
    </row>
    <row r="45" spans="1:27" x14ac:dyDescent="0.35">
      <c r="A45" t="s">
        <v>46</v>
      </c>
      <c r="B45">
        <v>28</v>
      </c>
      <c r="C45">
        <v>5</v>
      </c>
      <c r="F45">
        <v>16</v>
      </c>
      <c r="G45">
        <v>18</v>
      </c>
      <c r="H45">
        <v>238</v>
      </c>
      <c r="I45">
        <v>119</v>
      </c>
      <c r="K45">
        <v>1509</v>
      </c>
      <c r="L45">
        <v>566</v>
      </c>
      <c r="N45">
        <v>208</v>
      </c>
      <c r="O45">
        <v>13</v>
      </c>
      <c r="P45">
        <v>67</v>
      </c>
      <c r="Q45" s="1">
        <v>0.86944996686547382</v>
      </c>
      <c r="R45">
        <v>6</v>
      </c>
      <c r="S45">
        <v>5</v>
      </c>
      <c r="T45">
        <v>21</v>
      </c>
      <c r="U45">
        <v>1</v>
      </c>
      <c r="V45">
        <v>1</v>
      </c>
      <c r="W45" t="s">
        <v>114</v>
      </c>
      <c r="X45" s="9">
        <v>97.8</v>
      </c>
      <c r="Y45">
        <v>50</v>
      </c>
      <c r="Z45">
        <v>79</v>
      </c>
      <c r="AA45">
        <v>7</v>
      </c>
    </row>
    <row r="46" spans="1:27" x14ac:dyDescent="0.35">
      <c r="A46" t="s">
        <v>76</v>
      </c>
      <c r="B46">
        <v>23</v>
      </c>
      <c r="C46">
        <v>5</v>
      </c>
      <c r="F46">
        <v>5</v>
      </c>
      <c r="G46">
        <v>18</v>
      </c>
      <c r="H46">
        <v>164</v>
      </c>
      <c r="I46">
        <v>87</v>
      </c>
      <c r="K46">
        <v>615</v>
      </c>
      <c r="L46">
        <v>916</v>
      </c>
      <c r="N46">
        <v>190</v>
      </c>
      <c r="O46">
        <v>21</v>
      </c>
      <c r="P46">
        <v>63</v>
      </c>
      <c r="Q46" s="1">
        <v>0.49268292682926829</v>
      </c>
      <c r="R46">
        <v>4</v>
      </c>
      <c r="S46">
        <v>11</v>
      </c>
      <c r="T46">
        <v>8</v>
      </c>
      <c r="U46">
        <v>2</v>
      </c>
      <c r="V46">
        <v>1</v>
      </c>
      <c r="W46" t="s">
        <v>144</v>
      </c>
      <c r="X46" s="9">
        <v>99.7</v>
      </c>
      <c r="Y46">
        <v>260</v>
      </c>
      <c r="Z46">
        <v>410.8</v>
      </c>
      <c r="AA46">
        <v>13</v>
      </c>
    </row>
    <row r="47" spans="1:27" x14ac:dyDescent="0.35">
      <c r="A47" t="s">
        <v>59</v>
      </c>
      <c r="B47">
        <v>26</v>
      </c>
      <c r="C47">
        <v>5</v>
      </c>
      <c r="F47">
        <v>11</v>
      </c>
      <c r="G47">
        <v>16</v>
      </c>
      <c r="H47">
        <v>174</v>
      </c>
      <c r="I47">
        <v>80</v>
      </c>
      <c r="K47">
        <v>1497</v>
      </c>
      <c r="L47">
        <v>9244</v>
      </c>
      <c r="N47">
        <v>166</v>
      </c>
      <c r="O47">
        <v>15</v>
      </c>
      <c r="P47">
        <v>59</v>
      </c>
      <c r="Q47" s="1">
        <v>0.94789579158316628</v>
      </c>
      <c r="R47">
        <v>9</v>
      </c>
      <c r="S47">
        <v>116</v>
      </c>
      <c r="T47">
        <v>12</v>
      </c>
      <c r="U47">
        <v>1</v>
      </c>
      <c r="V47">
        <v>0</v>
      </c>
      <c r="W47" t="s">
        <v>127</v>
      </c>
      <c r="X47" s="9">
        <v>75.7</v>
      </c>
      <c r="Y47">
        <v>156</v>
      </c>
      <c r="Z47">
        <v>246.48</v>
      </c>
      <c r="AA47">
        <v>8</v>
      </c>
    </row>
    <row r="48" spans="1:27" x14ac:dyDescent="0.35">
      <c r="A48" t="s">
        <v>73</v>
      </c>
      <c r="B48">
        <v>22</v>
      </c>
      <c r="C48">
        <v>5</v>
      </c>
      <c r="F48">
        <v>5</v>
      </c>
      <c r="G48">
        <v>13</v>
      </c>
      <c r="H48">
        <v>75</v>
      </c>
      <c r="I48">
        <v>41</v>
      </c>
      <c r="K48">
        <v>316</v>
      </c>
      <c r="L48">
        <v>63</v>
      </c>
      <c r="N48">
        <v>80</v>
      </c>
      <c r="O48">
        <v>19</v>
      </c>
      <c r="P48">
        <v>49</v>
      </c>
      <c r="Q48" s="1">
        <v>0.31428571428571428</v>
      </c>
      <c r="R48">
        <v>4</v>
      </c>
      <c r="S48">
        <v>2</v>
      </c>
      <c r="T48">
        <v>12</v>
      </c>
      <c r="U48">
        <v>1</v>
      </c>
      <c r="V48">
        <v>2</v>
      </c>
      <c r="W48" t="s">
        <v>141</v>
      </c>
      <c r="X48" s="9">
        <v>100</v>
      </c>
      <c r="Y48">
        <v>105</v>
      </c>
      <c r="Z48">
        <v>165.9</v>
      </c>
      <c r="AA48">
        <v>5</v>
      </c>
    </row>
    <row r="49" spans="1:27" x14ac:dyDescent="0.35">
      <c r="A49" t="s">
        <v>38</v>
      </c>
      <c r="B49">
        <v>12</v>
      </c>
      <c r="C49">
        <v>5</v>
      </c>
      <c r="F49">
        <v>20</v>
      </c>
      <c r="G49">
        <v>17</v>
      </c>
      <c r="H49">
        <v>139</v>
      </c>
      <c r="I49">
        <v>318</v>
      </c>
      <c r="K49">
        <v>530</v>
      </c>
      <c r="L49">
        <v>383</v>
      </c>
      <c r="N49">
        <v>160</v>
      </c>
      <c r="O49">
        <v>11</v>
      </c>
      <c r="P49">
        <v>32</v>
      </c>
      <c r="Q49" s="1">
        <v>0.29678638941398872</v>
      </c>
      <c r="R49">
        <v>4</v>
      </c>
      <c r="S49">
        <v>1</v>
      </c>
      <c r="T49">
        <v>9</v>
      </c>
      <c r="U49">
        <v>1</v>
      </c>
      <c r="V49">
        <v>0</v>
      </c>
      <c r="W49" t="s">
        <v>106</v>
      </c>
      <c r="X49" s="9">
        <v>93.8</v>
      </c>
      <c r="Y49">
        <v>305</v>
      </c>
      <c r="Z49">
        <v>481.9</v>
      </c>
      <c r="AA49">
        <v>17</v>
      </c>
    </row>
    <row r="50" spans="1:27" x14ac:dyDescent="0.35">
      <c r="A50" t="s">
        <v>88</v>
      </c>
      <c r="B50">
        <v>17</v>
      </c>
      <c r="C50">
        <v>5</v>
      </c>
      <c r="F50">
        <v>12</v>
      </c>
      <c r="G50">
        <v>20</v>
      </c>
      <c r="H50">
        <v>351</v>
      </c>
      <c r="I50">
        <v>187</v>
      </c>
      <c r="K50">
        <v>910</v>
      </c>
      <c r="L50">
        <v>508</v>
      </c>
      <c r="N50">
        <v>372</v>
      </c>
      <c r="O50">
        <v>26</v>
      </c>
      <c r="P50">
        <v>32</v>
      </c>
      <c r="Q50" s="1">
        <v>0.98351648351648346</v>
      </c>
      <c r="R50">
        <v>3</v>
      </c>
      <c r="S50">
        <v>3</v>
      </c>
      <c r="T50">
        <v>5</v>
      </c>
      <c r="U50">
        <v>29</v>
      </c>
      <c r="V50">
        <v>1</v>
      </c>
      <c r="W50" t="s">
        <v>156</v>
      </c>
      <c r="X50" s="9">
        <v>98.4</v>
      </c>
      <c r="Y50">
        <v>227</v>
      </c>
      <c r="Z50">
        <v>358.66</v>
      </c>
      <c r="AA50">
        <v>5</v>
      </c>
    </row>
    <row r="51" spans="1:27" x14ac:dyDescent="0.35">
      <c r="A51" t="s">
        <v>78</v>
      </c>
      <c r="B51">
        <v>20</v>
      </c>
      <c r="C51">
        <v>6</v>
      </c>
      <c r="F51">
        <v>7</v>
      </c>
      <c r="G51">
        <v>12</v>
      </c>
      <c r="H51">
        <v>377</v>
      </c>
      <c r="I51">
        <v>51</v>
      </c>
      <c r="K51">
        <v>1913</v>
      </c>
      <c r="L51">
        <v>324</v>
      </c>
      <c r="N51">
        <v>407</v>
      </c>
      <c r="O51">
        <v>22</v>
      </c>
      <c r="P51">
        <v>31</v>
      </c>
      <c r="Q51" s="1">
        <v>0.85990590695243074</v>
      </c>
      <c r="R51">
        <v>5</v>
      </c>
      <c r="S51">
        <v>6</v>
      </c>
      <c r="T51">
        <v>18</v>
      </c>
      <c r="U51">
        <v>21600</v>
      </c>
      <c r="V51">
        <v>2</v>
      </c>
      <c r="W51" t="s">
        <v>146</v>
      </c>
      <c r="X51" s="9">
        <f>7920/100</f>
        <v>79.2</v>
      </c>
      <c r="Y51">
        <v>45</v>
      </c>
      <c r="Z51">
        <v>71.099999999999994</v>
      </c>
      <c r="AA51">
        <v>5</v>
      </c>
    </row>
    <row r="52" spans="1:27" x14ac:dyDescent="0.35">
      <c r="A52" t="s">
        <v>58</v>
      </c>
      <c r="B52">
        <v>9</v>
      </c>
      <c r="C52">
        <v>8</v>
      </c>
      <c r="F52">
        <v>10</v>
      </c>
      <c r="G52">
        <v>14</v>
      </c>
      <c r="H52">
        <v>105</v>
      </c>
      <c r="I52">
        <v>40</v>
      </c>
      <c r="K52">
        <v>1460</v>
      </c>
      <c r="L52">
        <v>586</v>
      </c>
      <c r="N52">
        <v>114</v>
      </c>
      <c r="O52">
        <v>15</v>
      </c>
      <c r="P52">
        <v>5</v>
      </c>
      <c r="Q52" s="1">
        <v>9.1836734693877556E-2</v>
      </c>
      <c r="R52">
        <v>14</v>
      </c>
      <c r="S52">
        <v>15</v>
      </c>
      <c r="T52">
        <v>9</v>
      </c>
      <c r="U52">
        <v>1</v>
      </c>
      <c r="V52">
        <v>0</v>
      </c>
      <c r="W52" t="s">
        <v>126</v>
      </c>
      <c r="X52" s="9">
        <v>77.8</v>
      </c>
      <c r="Y52">
        <v>35</v>
      </c>
      <c r="Z52">
        <v>55.3</v>
      </c>
      <c r="AA52">
        <v>3</v>
      </c>
    </row>
    <row r="53" spans="1:27" x14ac:dyDescent="0.35">
      <c r="A53" t="s">
        <v>68</v>
      </c>
      <c r="B53">
        <v>8</v>
      </c>
      <c r="C53">
        <v>12</v>
      </c>
      <c r="F53">
        <v>14</v>
      </c>
      <c r="G53">
        <v>16</v>
      </c>
      <c r="H53">
        <v>178</v>
      </c>
      <c r="I53">
        <v>169</v>
      </c>
      <c r="K53">
        <v>327</v>
      </c>
      <c r="L53">
        <v>296</v>
      </c>
      <c r="N53">
        <v>74</v>
      </c>
      <c r="O53">
        <v>17</v>
      </c>
      <c r="P53">
        <v>9</v>
      </c>
      <c r="Q53" s="1">
        <v>0.3149847094801223</v>
      </c>
      <c r="R53">
        <v>2</v>
      </c>
      <c r="S53">
        <v>2</v>
      </c>
      <c r="T53">
        <v>9</v>
      </c>
      <c r="U53">
        <v>2</v>
      </c>
      <c r="V53">
        <v>2</v>
      </c>
      <c r="W53" t="s">
        <v>136</v>
      </c>
      <c r="X53" s="9">
        <v>96.9</v>
      </c>
      <c r="Y53">
        <v>30</v>
      </c>
      <c r="Z53">
        <v>47.4</v>
      </c>
      <c r="AA53">
        <v>2</v>
      </c>
    </row>
    <row r="54" spans="1:27" x14ac:dyDescent="0.35">
      <c r="A54" t="s">
        <v>29</v>
      </c>
      <c r="B54">
        <v>29</v>
      </c>
      <c r="C54">
        <v>5</v>
      </c>
      <c r="F54">
        <v>16</v>
      </c>
      <c r="G54">
        <v>17</v>
      </c>
      <c r="H54">
        <v>697</v>
      </c>
      <c r="I54">
        <v>80</v>
      </c>
      <c r="K54">
        <v>1236</v>
      </c>
      <c r="L54">
        <v>196</v>
      </c>
      <c r="N54">
        <v>710</v>
      </c>
      <c r="O54">
        <v>7</v>
      </c>
      <c r="P54">
        <v>72</v>
      </c>
      <c r="Q54" s="1">
        <v>0.69417475728155342</v>
      </c>
      <c r="R54">
        <v>2</v>
      </c>
      <c r="S54">
        <v>2</v>
      </c>
      <c r="T54">
        <v>9</v>
      </c>
      <c r="U54">
        <v>1</v>
      </c>
      <c r="V54">
        <v>0</v>
      </c>
      <c r="W54" t="s">
        <v>97</v>
      </c>
      <c r="X54" s="9">
        <v>99.5</v>
      </c>
      <c r="Y54">
        <v>30</v>
      </c>
      <c r="Z54">
        <v>47.4</v>
      </c>
      <c r="AA54">
        <v>2</v>
      </c>
    </row>
    <row r="55" spans="1:27" x14ac:dyDescent="0.35">
      <c r="A55" t="s">
        <v>72</v>
      </c>
      <c r="B55">
        <v>15</v>
      </c>
      <c r="C55">
        <v>8</v>
      </c>
      <c r="F55">
        <v>7</v>
      </c>
      <c r="G55">
        <v>13</v>
      </c>
      <c r="H55">
        <v>273</v>
      </c>
      <c r="I55">
        <v>38</v>
      </c>
      <c r="K55">
        <v>1202</v>
      </c>
      <c r="L55">
        <v>322</v>
      </c>
      <c r="N55">
        <v>291</v>
      </c>
      <c r="O55">
        <v>19</v>
      </c>
      <c r="P55">
        <v>11</v>
      </c>
      <c r="Q55" s="1">
        <v>0.72152950955943473</v>
      </c>
      <c r="R55">
        <v>4</v>
      </c>
      <c r="S55">
        <v>8</v>
      </c>
      <c r="T55">
        <v>7</v>
      </c>
      <c r="U55">
        <v>639</v>
      </c>
      <c r="V55">
        <v>0</v>
      </c>
      <c r="W55" t="s">
        <v>140</v>
      </c>
      <c r="X55" s="9">
        <v>66.3</v>
      </c>
      <c r="Y55">
        <v>25</v>
      </c>
      <c r="Z55">
        <v>39.5</v>
      </c>
      <c r="AA55">
        <v>0</v>
      </c>
    </row>
    <row r="56" spans="1:27" x14ac:dyDescent="0.35">
      <c r="A56" t="s">
        <v>43</v>
      </c>
      <c r="B56">
        <v>25</v>
      </c>
      <c r="C56">
        <v>5</v>
      </c>
      <c r="F56">
        <v>10</v>
      </c>
      <c r="G56">
        <v>15</v>
      </c>
      <c r="H56">
        <v>91</v>
      </c>
      <c r="I56">
        <v>57</v>
      </c>
      <c r="K56">
        <v>176</v>
      </c>
      <c r="L56">
        <v>77</v>
      </c>
      <c r="N56">
        <v>101</v>
      </c>
      <c r="O56">
        <v>12</v>
      </c>
      <c r="P56">
        <v>55</v>
      </c>
      <c r="Q56" s="1">
        <v>0.82954545454545459</v>
      </c>
      <c r="R56">
        <v>2</v>
      </c>
      <c r="S56">
        <v>1</v>
      </c>
      <c r="T56">
        <v>16</v>
      </c>
      <c r="U56">
        <v>1</v>
      </c>
      <c r="V56">
        <v>0</v>
      </c>
      <c r="W56" t="s">
        <v>111</v>
      </c>
      <c r="X56" s="9">
        <v>88.5</v>
      </c>
      <c r="Y56">
        <v>25</v>
      </c>
      <c r="Z56">
        <v>39.5</v>
      </c>
      <c r="AA56">
        <v>1</v>
      </c>
    </row>
    <row r="57" spans="1:27" x14ac:dyDescent="0.35">
      <c r="A57" t="s">
        <v>53</v>
      </c>
      <c r="B57">
        <v>19</v>
      </c>
      <c r="C57">
        <v>7</v>
      </c>
      <c r="F57">
        <v>9</v>
      </c>
      <c r="G57">
        <v>13</v>
      </c>
      <c r="H57">
        <v>252</v>
      </c>
      <c r="I57">
        <v>92</v>
      </c>
      <c r="K57">
        <v>782</v>
      </c>
      <c r="L57">
        <v>613</v>
      </c>
      <c r="N57">
        <v>244</v>
      </c>
      <c r="O57">
        <v>13</v>
      </c>
      <c r="P57">
        <v>21</v>
      </c>
      <c r="Q57" s="1">
        <v>0.53639846743295017</v>
      </c>
      <c r="R57">
        <v>3</v>
      </c>
      <c r="S57">
        <v>7</v>
      </c>
      <c r="T57">
        <v>8</v>
      </c>
      <c r="U57">
        <v>189</v>
      </c>
      <c r="W57" t="s">
        <v>121</v>
      </c>
      <c r="X57" s="9">
        <v>46.3</v>
      </c>
      <c r="Y57">
        <v>25</v>
      </c>
      <c r="Z57">
        <v>39.5</v>
      </c>
      <c r="AA57">
        <v>0</v>
      </c>
    </row>
    <row r="58" spans="1:27" x14ac:dyDescent="0.35">
      <c r="A58" t="s">
        <v>89</v>
      </c>
      <c r="B58">
        <v>17</v>
      </c>
      <c r="C58">
        <v>5</v>
      </c>
      <c r="F58">
        <v>5</v>
      </c>
      <c r="G58">
        <v>14</v>
      </c>
      <c r="H58">
        <v>105</v>
      </c>
      <c r="I58">
        <v>50</v>
      </c>
      <c r="K58">
        <v>799</v>
      </c>
      <c r="L58">
        <v>251</v>
      </c>
      <c r="N58">
        <v>91</v>
      </c>
      <c r="O58">
        <v>27</v>
      </c>
      <c r="P58">
        <v>29</v>
      </c>
      <c r="Q58" s="1">
        <v>0.89097744360902253</v>
      </c>
      <c r="R58">
        <v>8</v>
      </c>
      <c r="S58">
        <v>5</v>
      </c>
      <c r="T58">
        <v>16</v>
      </c>
      <c r="U58">
        <v>1</v>
      </c>
      <c r="V58">
        <v>0</v>
      </c>
      <c r="W58" t="s">
        <v>157</v>
      </c>
      <c r="X58" s="9">
        <v>90.9</v>
      </c>
      <c r="Y58">
        <v>25</v>
      </c>
      <c r="Z58">
        <v>39.5</v>
      </c>
      <c r="AA58">
        <v>0</v>
      </c>
    </row>
    <row r="59" spans="1:27" x14ac:dyDescent="0.35">
      <c r="A59" t="s">
        <v>83</v>
      </c>
      <c r="B59">
        <v>23</v>
      </c>
      <c r="C59">
        <v>5</v>
      </c>
      <c r="F59">
        <v>12</v>
      </c>
      <c r="G59">
        <v>13</v>
      </c>
      <c r="H59">
        <v>147</v>
      </c>
      <c r="I59">
        <v>42</v>
      </c>
      <c r="K59">
        <v>377</v>
      </c>
      <c r="L59">
        <v>163</v>
      </c>
      <c r="N59">
        <v>165</v>
      </c>
      <c r="O59">
        <v>24</v>
      </c>
      <c r="P59">
        <v>41</v>
      </c>
      <c r="Q59" s="1">
        <v>0.60212201591511938</v>
      </c>
      <c r="R59">
        <v>3</v>
      </c>
      <c r="S59">
        <v>4</v>
      </c>
      <c r="T59">
        <v>3</v>
      </c>
      <c r="U59">
        <v>0</v>
      </c>
      <c r="V59">
        <v>0</v>
      </c>
      <c r="W59" t="s">
        <v>151</v>
      </c>
      <c r="X59" s="9">
        <v>61</v>
      </c>
      <c r="Y59">
        <v>25</v>
      </c>
      <c r="Z59">
        <v>39.5</v>
      </c>
      <c r="AA59">
        <v>0</v>
      </c>
    </row>
    <row r="60" spans="1:27" x14ac:dyDescent="0.35">
      <c r="A60" t="s">
        <v>45</v>
      </c>
      <c r="B60">
        <v>19</v>
      </c>
      <c r="C60">
        <v>5</v>
      </c>
      <c r="F60">
        <v>11</v>
      </c>
      <c r="G60">
        <v>14</v>
      </c>
      <c r="H60">
        <v>109</v>
      </c>
      <c r="I60">
        <v>27</v>
      </c>
      <c r="K60">
        <v>1084</v>
      </c>
      <c r="L60">
        <v>130</v>
      </c>
      <c r="N60">
        <v>136</v>
      </c>
      <c r="O60">
        <v>12</v>
      </c>
      <c r="P60">
        <v>26</v>
      </c>
      <c r="Q60" s="1">
        <v>0.78445883441258091</v>
      </c>
      <c r="R60">
        <v>10</v>
      </c>
      <c r="S60">
        <v>5</v>
      </c>
      <c r="T60">
        <v>24</v>
      </c>
      <c r="U60">
        <v>1</v>
      </c>
      <c r="V60">
        <v>2</v>
      </c>
      <c r="W60" t="s">
        <v>113</v>
      </c>
      <c r="X60" s="9">
        <v>96.1</v>
      </c>
      <c r="Y60">
        <v>25</v>
      </c>
      <c r="Z60">
        <v>39.5</v>
      </c>
      <c r="AA60">
        <v>0</v>
      </c>
    </row>
    <row r="61" spans="1:27" x14ac:dyDescent="0.35">
      <c r="A61" t="s">
        <v>82</v>
      </c>
      <c r="B61">
        <v>30</v>
      </c>
      <c r="C61">
        <v>5</v>
      </c>
      <c r="F61">
        <v>5</v>
      </c>
      <c r="G61">
        <v>20</v>
      </c>
      <c r="H61">
        <v>384</v>
      </c>
      <c r="I61">
        <v>188</v>
      </c>
      <c r="K61">
        <v>1957</v>
      </c>
      <c r="L61">
        <v>302</v>
      </c>
      <c r="N61">
        <v>445</v>
      </c>
      <c r="O61">
        <v>24</v>
      </c>
      <c r="P61">
        <v>112</v>
      </c>
      <c r="Q61" s="1">
        <v>0.39826619071902092</v>
      </c>
      <c r="R61">
        <v>5</v>
      </c>
      <c r="S61">
        <v>2</v>
      </c>
      <c r="T61">
        <v>11</v>
      </c>
      <c r="U61">
        <v>1</v>
      </c>
      <c r="V61">
        <v>0</v>
      </c>
      <c r="W61" t="s">
        <v>150</v>
      </c>
      <c r="X61" s="9">
        <v>93.9</v>
      </c>
      <c r="Y61">
        <v>25</v>
      </c>
      <c r="Z61">
        <v>39.5</v>
      </c>
      <c r="AA61">
        <v>0</v>
      </c>
    </row>
    <row r="62" spans="1:27" x14ac:dyDescent="0.35">
      <c r="A62" t="s">
        <v>77</v>
      </c>
      <c r="B62">
        <v>27</v>
      </c>
      <c r="C62">
        <v>5</v>
      </c>
      <c r="F62">
        <v>27</v>
      </c>
      <c r="G62">
        <v>23</v>
      </c>
      <c r="H62">
        <v>585</v>
      </c>
      <c r="I62">
        <v>82</v>
      </c>
      <c r="K62">
        <v>2666</v>
      </c>
      <c r="L62">
        <v>666</v>
      </c>
      <c r="N62">
        <v>647</v>
      </c>
      <c r="O62">
        <v>22</v>
      </c>
      <c r="P62">
        <v>83</v>
      </c>
      <c r="Q62" s="1">
        <v>0.74709193245778616</v>
      </c>
      <c r="R62">
        <v>5</v>
      </c>
      <c r="S62">
        <v>8</v>
      </c>
      <c r="T62">
        <v>14</v>
      </c>
      <c r="U62">
        <v>3</v>
      </c>
      <c r="V62">
        <v>0</v>
      </c>
      <c r="W62" t="s">
        <v>145</v>
      </c>
      <c r="X62" s="9">
        <v>89.5</v>
      </c>
      <c r="Y62">
        <v>16</v>
      </c>
      <c r="Z62">
        <v>25.28</v>
      </c>
      <c r="AA62">
        <v>4</v>
      </c>
    </row>
    <row r="63" spans="1:27" x14ac:dyDescent="0.35">
      <c r="A63" t="s">
        <v>33</v>
      </c>
      <c r="B63">
        <v>15</v>
      </c>
      <c r="C63">
        <v>5</v>
      </c>
      <c r="F63">
        <v>15</v>
      </c>
      <c r="G63">
        <v>16</v>
      </c>
      <c r="H63">
        <v>120</v>
      </c>
      <c r="I63">
        <v>91</v>
      </c>
      <c r="K63">
        <v>193</v>
      </c>
      <c r="L63">
        <v>165</v>
      </c>
      <c r="N63">
        <v>110</v>
      </c>
      <c r="O63">
        <v>9</v>
      </c>
      <c r="P63">
        <v>20</v>
      </c>
      <c r="Q63" s="1">
        <v>0.84455958549222798</v>
      </c>
      <c r="R63">
        <v>2</v>
      </c>
      <c r="S63">
        <v>2</v>
      </c>
      <c r="T63">
        <v>11</v>
      </c>
      <c r="U63">
        <v>0</v>
      </c>
      <c r="V63">
        <v>0</v>
      </c>
      <c r="W63" t="s">
        <v>101</v>
      </c>
      <c r="X63" s="9">
        <v>56.2</v>
      </c>
      <c r="Y63">
        <v>1</v>
      </c>
      <c r="Z63">
        <v>1.58</v>
      </c>
      <c r="AA63">
        <v>1</v>
      </c>
    </row>
    <row r="64" spans="1:27" x14ac:dyDescent="0.35">
      <c r="A64" t="s">
        <v>52</v>
      </c>
      <c r="B64">
        <v>17</v>
      </c>
      <c r="C64">
        <v>5</v>
      </c>
      <c r="F64">
        <v>5</v>
      </c>
      <c r="G64">
        <v>15</v>
      </c>
      <c r="H64">
        <v>66</v>
      </c>
      <c r="I64">
        <v>26</v>
      </c>
      <c r="K64">
        <v>470</v>
      </c>
      <c r="L64">
        <v>867</v>
      </c>
      <c r="N64">
        <v>64</v>
      </c>
      <c r="O64">
        <v>13</v>
      </c>
      <c r="P64">
        <v>31</v>
      </c>
      <c r="Q64" s="1">
        <v>0.95319148936170217</v>
      </c>
      <c r="R64">
        <v>7</v>
      </c>
      <c r="S64">
        <v>33</v>
      </c>
      <c r="T64">
        <v>13</v>
      </c>
      <c r="U64">
        <v>24</v>
      </c>
      <c r="V64">
        <v>0</v>
      </c>
      <c r="W64" t="s">
        <v>120</v>
      </c>
      <c r="X64" s="9">
        <v>62.8</v>
      </c>
      <c r="Y64">
        <v>1</v>
      </c>
      <c r="Z64">
        <v>1.58</v>
      </c>
      <c r="AA64">
        <v>1</v>
      </c>
    </row>
    <row r="65" spans="1:27" x14ac:dyDescent="0.35">
      <c r="A65" t="s">
        <v>79</v>
      </c>
      <c r="B65">
        <v>13</v>
      </c>
      <c r="C65">
        <v>8</v>
      </c>
      <c r="F65">
        <v>5</v>
      </c>
      <c r="G65">
        <v>14</v>
      </c>
      <c r="H65">
        <v>86</v>
      </c>
      <c r="I65">
        <v>35</v>
      </c>
      <c r="K65">
        <v>263</v>
      </c>
      <c r="L65">
        <v>61</v>
      </c>
      <c r="N65">
        <v>89</v>
      </c>
      <c r="O65">
        <v>23</v>
      </c>
      <c r="P65">
        <v>14</v>
      </c>
      <c r="Q65" s="1">
        <v>0.85931558935361219</v>
      </c>
      <c r="R65">
        <v>3</v>
      </c>
      <c r="S65">
        <v>2</v>
      </c>
      <c r="T65">
        <v>17</v>
      </c>
      <c r="U65">
        <v>6910</v>
      </c>
      <c r="V65">
        <v>0</v>
      </c>
      <c r="W65" t="s">
        <v>147</v>
      </c>
      <c r="X65" s="9">
        <v>42.4</v>
      </c>
      <c r="Y65">
        <v>1</v>
      </c>
      <c r="Z65">
        <v>1.58</v>
      </c>
      <c r="AA65">
        <v>0</v>
      </c>
    </row>
    <row r="66" spans="1:27" x14ac:dyDescent="0.35">
      <c r="A66" t="s">
        <v>48</v>
      </c>
      <c r="B66">
        <v>20</v>
      </c>
      <c r="C66">
        <v>5</v>
      </c>
      <c r="F66">
        <v>17</v>
      </c>
      <c r="G66">
        <v>25</v>
      </c>
      <c r="H66">
        <v>520</v>
      </c>
      <c r="I66">
        <v>162</v>
      </c>
      <c r="K66">
        <v>17733</v>
      </c>
      <c r="L66">
        <v>3909</v>
      </c>
      <c r="N66">
        <v>492</v>
      </c>
      <c r="O66">
        <v>13</v>
      </c>
      <c r="P66">
        <v>54</v>
      </c>
      <c r="Q66" s="1">
        <v>0.82968397291196383</v>
      </c>
      <c r="R66">
        <v>34</v>
      </c>
      <c r="S66">
        <v>24</v>
      </c>
      <c r="T66">
        <v>7</v>
      </c>
      <c r="U66">
        <v>1</v>
      </c>
      <c r="V66">
        <v>1</v>
      </c>
      <c r="W66" t="s">
        <v>116</v>
      </c>
      <c r="X66" s="9">
        <v>94.8</v>
      </c>
      <c r="Y66">
        <v>1</v>
      </c>
      <c r="Z66">
        <v>1.58</v>
      </c>
      <c r="AA66">
        <v>1</v>
      </c>
    </row>
    <row r="67" spans="1:27" x14ac:dyDescent="0.35">
      <c r="A67" t="s">
        <v>31</v>
      </c>
      <c r="B67">
        <v>25</v>
      </c>
      <c r="C67">
        <v>5</v>
      </c>
      <c r="F67">
        <v>9</v>
      </c>
      <c r="G67">
        <v>17</v>
      </c>
      <c r="H67">
        <v>190</v>
      </c>
      <c r="I67">
        <v>131</v>
      </c>
      <c r="K67">
        <v>1021</v>
      </c>
      <c r="L67">
        <v>396</v>
      </c>
      <c r="N67">
        <v>171</v>
      </c>
      <c r="O67">
        <v>8</v>
      </c>
      <c r="P67">
        <v>59</v>
      </c>
      <c r="Q67" s="1">
        <v>0.54252199413489732</v>
      </c>
      <c r="R67">
        <v>5</v>
      </c>
      <c r="S67">
        <v>3</v>
      </c>
      <c r="T67">
        <v>24</v>
      </c>
      <c r="U67">
        <v>1</v>
      </c>
      <c r="V67">
        <v>2</v>
      </c>
      <c r="W67" t="s">
        <v>99</v>
      </c>
      <c r="X67" s="9">
        <v>56.1</v>
      </c>
      <c r="Y67">
        <v>1</v>
      </c>
      <c r="Z67">
        <v>1.58</v>
      </c>
      <c r="AA67">
        <v>0</v>
      </c>
    </row>
    <row r="68" spans="1:27" x14ac:dyDescent="0.35">
      <c r="A68" t="s">
        <v>70</v>
      </c>
      <c r="B68">
        <v>25</v>
      </c>
      <c r="C68">
        <v>6</v>
      </c>
      <c r="F68">
        <v>5</v>
      </c>
      <c r="G68">
        <v>25</v>
      </c>
      <c r="H68">
        <v>465</v>
      </c>
      <c r="I68">
        <v>130</v>
      </c>
      <c r="K68">
        <v>20319</v>
      </c>
      <c r="L68">
        <v>790</v>
      </c>
      <c r="N68">
        <v>491</v>
      </c>
      <c r="O68">
        <v>18</v>
      </c>
      <c r="P68">
        <v>95</v>
      </c>
      <c r="Q68" s="1">
        <v>0.96101210987496311</v>
      </c>
      <c r="R68">
        <v>44</v>
      </c>
      <c r="S68">
        <v>6</v>
      </c>
      <c r="T68">
        <v>6</v>
      </c>
      <c r="U68">
        <v>88</v>
      </c>
      <c r="V68">
        <v>0</v>
      </c>
      <c r="W68" t="s">
        <v>138</v>
      </c>
      <c r="X68" s="9">
        <v>87.7</v>
      </c>
      <c r="Y68">
        <v>1</v>
      </c>
      <c r="Z68">
        <v>1.58</v>
      </c>
      <c r="AA68">
        <v>0</v>
      </c>
    </row>
    <row r="69" spans="1:27" x14ac:dyDescent="0.35">
      <c r="A69" t="s">
        <v>63</v>
      </c>
      <c r="B69">
        <v>18</v>
      </c>
      <c r="C69">
        <v>8</v>
      </c>
      <c r="F69">
        <v>10</v>
      </c>
      <c r="G69">
        <v>15</v>
      </c>
      <c r="H69">
        <v>68</v>
      </c>
      <c r="I69">
        <v>49</v>
      </c>
      <c r="K69">
        <v>107</v>
      </c>
      <c r="L69">
        <v>70</v>
      </c>
      <c r="N69">
        <v>68</v>
      </c>
      <c r="O69">
        <v>16</v>
      </c>
      <c r="P69">
        <v>16</v>
      </c>
      <c r="Q69" s="1">
        <v>0.79439252336448596</v>
      </c>
      <c r="R69">
        <v>2</v>
      </c>
      <c r="S69">
        <v>1</v>
      </c>
      <c r="T69">
        <v>11</v>
      </c>
      <c r="U69">
        <v>2</v>
      </c>
      <c r="V69">
        <v>0</v>
      </c>
      <c r="W69" t="s">
        <v>131</v>
      </c>
      <c r="X69" s="9">
        <v>100</v>
      </c>
      <c r="Y69">
        <v>1</v>
      </c>
      <c r="Z69">
        <v>1.58</v>
      </c>
      <c r="AA69">
        <v>0</v>
      </c>
    </row>
    <row r="70" spans="1:27" x14ac:dyDescent="0.35">
      <c r="A70" t="s">
        <v>37</v>
      </c>
      <c r="B70">
        <v>21</v>
      </c>
      <c r="C70">
        <v>5</v>
      </c>
      <c r="F70">
        <v>7</v>
      </c>
      <c r="G70">
        <v>17</v>
      </c>
      <c r="H70">
        <v>108</v>
      </c>
      <c r="I70">
        <v>79</v>
      </c>
      <c r="K70">
        <v>1003</v>
      </c>
      <c r="L70">
        <v>162</v>
      </c>
      <c r="N70">
        <v>128</v>
      </c>
      <c r="O70">
        <v>10</v>
      </c>
      <c r="P70">
        <v>45</v>
      </c>
      <c r="Q70" s="7">
        <v>0.59255533199195176</v>
      </c>
      <c r="R70">
        <v>9</v>
      </c>
      <c r="S70">
        <v>2</v>
      </c>
      <c r="T70">
        <v>7</v>
      </c>
      <c r="U70">
        <v>3</v>
      </c>
      <c r="W70" t="s">
        <v>105</v>
      </c>
      <c r="X70" s="10">
        <v>66.8</v>
      </c>
      <c r="Y70">
        <v>1</v>
      </c>
      <c r="Z70">
        <v>1.58</v>
      </c>
      <c r="AA70">
        <v>0</v>
      </c>
    </row>
  </sheetData>
  <mergeCells count="5">
    <mergeCell ref="B1:G1"/>
    <mergeCell ref="H1:J1"/>
    <mergeCell ref="K1:N1"/>
    <mergeCell ref="Q1:S1"/>
    <mergeCell ref="T1:W1"/>
  </mergeCells>
  <conditionalFormatting sqref="U3:U70">
    <cfRule type="cellIs" dxfId="2" priority="3" operator="equal">
      <formula>0</formula>
    </cfRule>
  </conditionalFormatting>
  <conditionalFormatting sqref="V1:V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:X1048576">
    <cfRule type="cellIs" dxfId="1" priority="2" operator="lessThan">
      <formula>60</formula>
    </cfRule>
  </conditionalFormatting>
  <conditionalFormatting sqref="X3:X70">
    <cfRule type="expression" dxfId="0" priority="4">
      <formula>AND(ISNUMBER(X3),X3&lt;0.6)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2025-03-21T21:06:52Z</dcterms:created>
  <dcterms:modified xsi:type="dcterms:W3CDTF">2025-03-21T22:23:19Z</dcterms:modified>
</cp:coreProperties>
</file>