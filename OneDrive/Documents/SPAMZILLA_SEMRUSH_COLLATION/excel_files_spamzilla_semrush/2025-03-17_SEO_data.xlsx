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"/>
    </mc:Choice>
  </mc:AlternateContent>
  <xr:revisionPtr revIDLastSave="55" documentId="11_BE144239AE31921FD29E31C4309FE746C5442A94" xr6:coauthVersionLast="47" xr6:coauthVersionMax="47" xr10:uidLastSave="{1ECDF777-0AEB-4F4C-BCD2-002FDAF93FB4}"/>
  <bookViews>
    <workbookView xWindow="-110" yWindow="-110" windowWidth="19420" windowHeight="10660" xr2:uid="{00000000-000D-0000-FFFF-FFFF00000000}"/>
  </bookViews>
  <sheets>
    <sheet name="17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3" i="1" l="1"/>
  <c r="P41" i="1"/>
  <c r="P62" i="1"/>
  <c r="P45" i="1"/>
  <c r="P52" i="1"/>
  <c r="P58" i="1"/>
  <c r="P60" i="1"/>
  <c r="P31" i="1"/>
  <c r="P53" i="1"/>
  <c r="P37" i="1"/>
  <c r="P40" i="1"/>
  <c r="P44" i="1"/>
  <c r="P63" i="1"/>
  <c r="P20" i="1"/>
  <c r="P32" i="1"/>
  <c r="P57" i="1"/>
  <c r="P34" i="1"/>
  <c r="P35" i="1"/>
  <c r="P25" i="1"/>
  <c r="P33" i="1"/>
  <c r="P48" i="1"/>
  <c r="P24" i="1"/>
  <c r="P61" i="1"/>
  <c r="P29" i="1"/>
  <c r="P19" i="1"/>
  <c r="P49" i="1"/>
  <c r="P13" i="1"/>
  <c r="P54" i="1"/>
  <c r="P64" i="1"/>
  <c r="P59" i="1"/>
  <c r="P8" i="1"/>
  <c r="P65" i="1"/>
  <c r="P46" i="1"/>
  <c r="P4" i="1"/>
  <c r="P3" i="1"/>
  <c r="P15" i="1"/>
  <c r="P26" i="1"/>
  <c r="P56" i="1"/>
  <c r="P42" i="1"/>
  <c r="P18" i="1"/>
  <c r="P23" i="1"/>
  <c r="P17" i="1"/>
  <c r="P6" i="1"/>
  <c r="P16" i="1"/>
  <c r="P39" i="1"/>
  <c r="P28" i="1"/>
  <c r="P7" i="1"/>
  <c r="P51" i="1"/>
  <c r="P50" i="1"/>
  <c r="P22" i="1"/>
  <c r="P10" i="1"/>
  <c r="P21" i="1"/>
  <c r="P9" i="1"/>
  <c r="P12" i="1"/>
  <c r="P11" i="1"/>
  <c r="P5" i="1"/>
  <c r="P27" i="1"/>
  <c r="P30" i="1"/>
  <c r="P14" i="1"/>
  <c r="P47" i="1"/>
  <c r="P38" i="1"/>
  <c r="P36" i="1"/>
  <c r="P55" i="1"/>
</calcChain>
</file>

<file path=xl/sharedStrings.xml><?xml version="1.0" encoding="utf-8"?>
<sst xmlns="http://schemas.openxmlformats.org/spreadsheetml/2006/main" count="360" uniqueCount="236">
  <si>
    <t>Name</t>
  </si>
  <si>
    <t>Source</t>
  </si>
  <si>
    <t>Moz DA</t>
  </si>
  <si>
    <t>SEMRUSH AUTHORITY SCORE (AS)</t>
  </si>
  <si>
    <t>AHREFS DR</t>
  </si>
  <si>
    <t>MAJESTIC TRUST FLOW</t>
  </si>
  <si>
    <t>MAJESTIC CITATION FLOW</t>
  </si>
  <si>
    <t>SEMrush Referring Domains</t>
  </si>
  <si>
    <t>Majestic Referring Domains</t>
  </si>
  <si>
    <t>AHREFS REFERRING WEBSITES</t>
  </si>
  <si>
    <t>SEMrush Backlinks</t>
  </si>
  <si>
    <t>Majestic Backlinks</t>
  </si>
  <si>
    <t>IPs</t>
  </si>
  <si>
    <t>AHREFS BACKLINKS</t>
  </si>
  <si>
    <t>SZ Score</t>
  </si>
  <si>
    <t>Variance</t>
  </si>
  <si>
    <t>Total Link to Follow Ratio (%)</t>
  </si>
  <si>
    <t>SEMRUSH (Backlinks/Referring domains)</t>
  </si>
  <si>
    <t>MAJESTIC (Backlinks/Referring domains)</t>
  </si>
  <si>
    <t>Age</t>
  </si>
  <si>
    <t>Internal Links</t>
  </si>
  <si>
    <t>External Links</t>
  </si>
  <si>
    <t>External Domains</t>
  </si>
  <si>
    <t>Google Indexed Pages</t>
  </si>
  <si>
    <t>SZ Drops</t>
  </si>
  <si>
    <t>SZ Parked</t>
  </si>
  <si>
    <t>Majestic Topics</t>
  </si>
  <si>
    <t>Majestic Languages</t>
  </si>
  <si>
    <t>English %</t>
  </si>
  <si>
    <t>Second Language</t>
  </si>
  <si>
    <t>Second Language %</t>
  </si>
  <si>
    <t>Language Count</t>
  </si>
  <si>
    <t>healthcarefreeware.com</t>
  </si>
  <si>
    <t>acrendo.com</t>
  </si>
  <si>
    <t>manordowns.com</t>
  </si>
  <si>
    <t>furryelephant.com</t>
  </si>
  <si>
    <t>xoxtruffles.com</t>
  </si>
  <si>
    <t>ligastavok.com</t>
  </si>
  <si>
    <t>4developers.com</t>
  </si>
  <si>
    <t>pearlsouthpadre.com</t>
  </si>
  <si>
    <t>santamonicaloewshotel.com</t>
  </si>
  <si>
    <t>tuffyboats.com</t>
  </si>
  <si>
    <t>lynyrdskynyrdhistory.com</t>
  </si>
  <si>
    <t>mikeandmorley.com</t>
  </si>
  <si>
    <t>joneslanding.net</t>
  </si>
  <si>
    <t>blindsquirrelbrewery.com</t>
  </si>
  <si>
    <t>nccultureevents.com</t>
  </si>
  <si>
    <t>trifamilyracing.com</t>
  </si>
  <si>
    <t>amodernli.com</t>
  </si>
  <si>
    <t>netgore.com</t>
  </si>
  <si>
    <t>fishingwithgus.com</t>
  </si>
  <si>
    <t>heritagepetvet.net</t>
  </si>
  <si>
    <t>aresarmor.com</t>
  </si>
  <si>
    <t>dandbtreecompany.com</t>
  </si>
  <si>
    <t>theshrinechicago.com</t>
  </si>
  <si>
    <t>conejitos-place.com</t>
  </si>
  <si>
    <t>marksgeneticsoftware.net</t>
  </si>
  <si>
    <t>jkinfonews.com</t>
  </si>
  <si>
    <t>rolychinafusion.com</t>
  </si>
  <si>
    <t>unitrade-express.com</t>
  </si>
  <si>
    <t>theschooner.net</t>
  </si>
  <si>
    <t>mosholugolfcourse.com</t>
  </si>
  <si>
    <t>mythrillclub.com</t>
  </si>
  <si>
    <t>webscalenetworking.com</t>
  </si>
  <si>
    <t>thedailyshifts.com</t>
  </si>
  <si>
    <t>sruti-s-ragavan.com</t>
  </si>
  <si>
    <t>polski-biznes.com</t>
  </si>
  <si>
    <t>coneybearehoney.com</t>
  </si>
  <si>
    <t>ggleagues.com</t>
  </si>
  <si>
    <t>instantmarketingsystems.net</t>
  </si>
  <si>
    <t>wormholebridge.com</t>
  </si>
  <si>
    <t>8cloves.com</t>
  </si>
  <si>
    <t>endbirthdayabortion.com</t>
  </si>
  <si>
    <t>mattberningerswebsite.com</t>
  </si>
  <si>
    <t>highlevelwisdom.com</t>
  </si>
  <si>
    <t>baltoamerica.com</t>
  </si>
  <si>
    <t>littleshilpa.com</t>
  </si>
  <si>
    <t>swadeshsoftwares.com</t>
  </si>
  <si>
    <t>freebitcoinhome.com</t>
  </si>
  <si>
    <t>ohfinteriors.com</t>
  </si>
  <si>
    <t>jacksoo.com</t>
  </si>
  <si>
    <t>cursedbikesandcoffee.com</t>
  </si>
  <si>
    <t>lotsapawsbarkery.com</t>
  </si>
  <si>
    <t>thebloomeryco.com</t>
  </si>
  <si>
    <t>surprisemypet.com</t>
  </si>
  <si>
    <t>charliepownall.com</t>
  </si>
  <si>
    <t>stanfordpelage.com</t>
  </si>
  <si>
    <t>uttarakhandcrafts.com</t>
  </si>
  <si>
    <t>ipaware.net</t>
  </si>
  <si>
    <t>restoringempowerment.org</t>
  </si>
  <si>
    <t>bionoricair.com</t>
  </si>
  <si>
    <t>oregoncoffeeboard.org</t>
  </si>
  <si>
    <t>ustadequran.com</t>
  </si>
  <si>
    <t>ashirwadhotel.com</t>
  </si>
  <si>
    <t>bathroomsweets.com</t>
  </si>
  <si>
    <t>GoDaddy Auctions</t>
  </si>
  <si>
    <t>Business/Healthcare: 23
Computers/Internet/On the Web: 12
Society/Government: 12</t>
  </si>
  <si>
    <t>Business/Healthcare: 27
Computers/Data Formats: 16</t>
  </si>
  <si>
    <t>Sports/Equestrian: 26
Games/Gambling: 14</t>
  </si>
  <si>
    <t>Science/Physics: 23</t>
  </si>
  <si>
    <t>Shopping/Food: 27
Computers/Internet/Searching: 12
Society/History: 12</t>
  </si>
  <si>
    <t>Games/Gambling: 27</t>
  </si>
  <si>
    <t>Computers/Programming/Agents: 16
Computers/Software/Shareware: 8
Computers/Programming/Component Frameworks: 7</t>
  </si>
  <si>
    <t>Recreation/Travel: 25
Regional/North America: 23</t>
  </si>
  <si>
    <t>Arts/Movies: 14
Business/Small Business: 13
Recreation/Travel: 11</t>
  </si>
  <si>
    <t>Recreation/Outdoors: 16
Regional/Europe: 14</t>
  </si>
  <si>
    <t>Arts/Music: 15
Sports/Motorsports: 13
Arts/Television: 9
Shopping/Photography: 7</t>
  </si>
  <si>
    <t>Society/Politics: 17</t>
  </si>
  <si>
    <t>Regional/North America: 18
Business/Real Estate: 15
Recreation/Food: 12
Recreation/Outdoors: 11
Recreation/Travel: 10
Reference/Maps: 9
Recreation/Boating: 8</t>
  </si>
  <si>
    <t>Business: 25</t>
  </si>
  <si>
    <t>Reference/Archives: 10
Reference/Libraries: 6</t>
  </si>
  <si>
    <t>Recreation/Travel: 8
Society/Government: 8
Regional/Europe: 7
Business/Food and Related Products: 7
Business/Industrial Goods and Services: 7
Business: 7
Home/Family: 6
Shopping/Flowers: 5
Home/Gardening: 5</t>
  </si>
  <si>
    <t>Society/Government: 16
Science/Social Sciences: 13
Science/Astronomy: 9
Recreation/Travel: 8
Business: 8
Arts/Architecture: 8</t>
  </si>
  <si>
    <t>Recreation/Autos: 8
Recreation/Motorcycles: 8
Society/Subcultures: 6
Business/Business Services: 5
Recreation/Travel: 5
Society/People: 4
Computers/Internet/Searching: 4
News/Media Industry: 4</t>
  </si>
  <si>
    <t>Recreation: 11
Society: 7
Business: 7</t>
  </si>
  <si>
    <t>Recreation/Pets: 11
Health/Conditions and Diseases: 9
Computers/Artificial Life: 7
Science/Biology: 5</t>
  </si>
  <si>
    <t>Society/Law: 11
Sports/Paintball: 11
Recreation/Guns: 9
Society/Issues: 7
Business/Textiles and Nonwovens: 6
Society/Politics: 6</t>
  </si>
  <si>
    <t>Business/Construction and Maintenance: 7
Business/Small Business: 6
Recreation/Food: 5
Computers/Bulletin Board Systems: 5
News/Media Industry: 4
Business: 4
Reference/Education: 4
Recreation/Travel: 3
Recreation/Trains and Railroads: 3
Regional/North America: 3</t>
  </si>
  <si>
    <t>News/Magazines and E-zines: 18
Regional/North America: 15
Society/People: 9</t>
  </si>
  <si>
    <t>Business/Transportation and Logistics: 9
Arts: 7
Business/Business Services: 6
Business/Arts and Entertainment: 6
Games/Video Games/Simulation: 6
Society/People: 6
Recreation/Travel: 5
Arts/Art History: 5
Sports/Golf: 5
World/Polski: 5</t>
  </si>
  <si>
    <t>Science/Math: 12
Reference/Dictionaries: 11
Science/Biology: 8
Reference/Education: 7</t>
  </si>
  <si>
    <t>Business: 13
Reference/Education: 12</t>
  </si>
  <si>
    <t>Recreation/Travel: 11
Recreation/Food: 10
Society/Gay  Lesbian  and Bisexual: 7
Sports/Winter Sports: 6
Recreation/Outdoors: 6
Regional/North America: 6
Business/Real Estate: 6
Business/Consumer Goods and Services: 6
Arts/Movies: 5
Reference/Museums: 5</t>
  </si>
  <si>
    <t>Business/Business Services: 10
Business: 9
Recreation/Pets: 9
Society/People: 9
Recreation/Motorcycles: 8
Society/Government: 8
Business/Food and Related Products: 7
Business/Opportunities: 7
Sports: 7
Business/Industrial Goods and Services: 7</t>
  </si>
  <si>
    <t>Business/Real Estate: 10
Recreation/Travel: 7
Regional/North America: 6
Recreation/Food: 6
Recreation/Outdoors: 6
Shopping: 6
Arts: 6
Society/Religion and Spirituality: 5
Business/Healthcare: 5
Business: 5</t>
  </si>
  <si>
    <t>Recreation/Travel: 9
Sports/Golf: 7
Society/Philanthropy: 6
Business/Education and Training: 6
Business/Information Technology: 6
Reference/Museums: 5
Sports/Winter Sports: 5
Recreation/Food: 4
Science/Events: 4</t>
  </si>
  <si>
    <t>Arts/Literature: 22</t>
  </si>
  <si>
    <t>Arts/Animation: 6
Computers/Hardware: 5
Business/Telecommunications: 5
Recreation/Autos: 5
Computers/Software/Operating Systems: 5
Computers/Internet/Web Design and Development: 5
Recreation/Motorcycles: 5
Computers/Software/Internet: 5
Recreation/Boating: 5
Society/History: 5</t>
  </si>
  <si>
    <t>Society/Religion and Spirituality: 14
Sports/Motorsports: 13
Arts/Online Writing: 9
Regional/North America: 9
Games/Video Games/Developers and Publishers: 8
Regional/Europe: 8</t>
  </si>
  <si>
    <t>Reference/Education: 12
Computers/Programming/Languages: 11
Computers/Computer Science/Theoretical: 6
Science/Physics: 6
Society/People: 6
Computers/Computer Science/Academic Departments: 6</t>
  </si>
  <si>
    <t>Adult/Computers: 5
Recreation/Pets: 2
Regional/Europe: 2</t>
  </si>
  <si>
    <t>Society/Issues: 9
Science/Agriculture: 5</t>
  </si>
  <si>
    <t>Sports/Softball: 17
Recreation: 10</t>
  </si>
  <si>
    <t>Arts/Animation: 6
Recreation/Autos: 5
Recreation/Motorcycles: 5
Society/History: 5
Society/Philosophy: 5
Reference/Education: 4
Business/Transportation and Logistics: 3
Science/Astronomy: 3
Society/Organizations: 3
Society/Religion and Spirituality: 3</t>
  </si>
  <si>
    <t>Business/Crypto: 11
Science/Social Sciences: 9
Home/Personal Finance: 7
Computers/Internet/News and Media: 7
Arts/Illustration: 6
Business/Investing: 6
Computers/Programming/Languages: 6
Society/Paranormal: 5
Society/People: 5
Business/Accounting: 5</t>
  </si>
  <si>
    <t>Society/Government: 7
Sports/Equestrian: 7
Business/Food and Related Products: 7
Business/Industrial Goods and Services: 7
Business: 6
Home/Family: 5
Recreation/Food: 5
Home/Gardening: 5
Recreation/Travel: 4</t>
  </si>
  <si>
    <t>Arts/Art History: 5
Arts/Performing Arts: 5
Society/Military: 5
Recreation/Motorcycles: 5
Regional/Middle East: 5
Arts: 4
Business: 4
Business/Agriculture and Forestry: 3
Recreation/Pets: 3
Arts/Visual Arts: 3</t>
  </si>
  <si>
    <t>Arts/Music: 8
Regional/Europe: 8
Society/Religion and Spirituality: 6
Society/Gay  Lesbian  and Bisexual: 5
Society/Issues: 5
News/Media Industry: 5</t>
  </si>
  <si>
    <t>Business/Marketing and Advertising: 10
Recreation/Travel: 6
Science/Environment: 5
Arts/Music: 5</t>
  </si>
  <si>
    <t>Arts/Music: 8
Recreation/Travel: 5</t>
  </si>
  <si>
    <t>Recreation/Food: 6
Society/People: 3
Recreation/Travel: 3
Science/Environment: 2
News/Current Events: 2</t>
  </si>
  <si>
    <t>Reference/Education: 15</t>
  </si>
  <si>
    <t>Science/Social Sciences: 5
Recreation/Pets: 2
Regional/Europe: 2</t>
  </si>
  <si>
    <t>Business/Food and Related Products: 6
Recreation/Outdoors: 5
Shopping/Recreation: 5
Sports/Bowling: 5
Shopping/Sports: 5
Business: 5
Business/Telecommunications: 3</t>
  </si>
  <si>
    <t>Society/History: 7
Society/Ethnicity: 4
Arts/Movies: 3</t>
  </si>
  <si>
    <t>Sports/Cycling: 7
Reference/Education: 5
Science/Biology: 5
Health/Medicine: 5
News/Alternative: 5
Reference/Libraries: 4
Science/Educational Resources: 3
Arts/Music: 3
Health/Conditions and Diseases: 3
Health/Professions: 3</t>
  </si>
  <si>
    <t>Arts: 7
Recreation/Outdoors: 5
Recreation/Travel: 3</t>
  </si>
  <si>
    <t>Recreation/Autos: 4
Recreation/Motorcycles: 3
Arts/Photography: 3
Recreation/Travel: 3
Shopping/Jewelry: 2
Business/Arts and Entertainment: 2
Home/Cooking: 2</t>
  </si>
  <si>
    <t>Computers/Internet: 9
Recreation/Pets: 6</t>
  </si>
  <si>
    <t>Computers/Companies: 8
Computers/Hardware: 7
Computers/Internet: 6
Business/Information Technology: 6
Computers/Internet/On the Web: 6
Computers/Security: 6
Science/Math: 5
Arts/Movies: 5
Business/Publishing and Printing: 5
Arts/Music: 5</t>
  </si>
  <si>
    <t>Shopping/Vehicles: 9
Computers/Internet/On the Web: 8</t>
  </si>
  <si>
    <t>Society: 8</t>
  </si>
  <si>
    <t>Society/Law: 15
Science/Technology: 13
Health/Nursing: 7</t>
  </si>
  <si>
    <t>Computers/Hardware: 7
Computers/Programming/Internet: 6
Computers/Multimedia: 6
Arts/Art History: 5
Arts/Performing Arts: 4
Arts: 4
Sports/Equestrian: 3
Recreation/Food: 3
Recreation/Pets: 3
Computers/Programming/Languages: 3</t>
  </si>
  <si>
    <t>Shopping/Clothing: 7
Health: 6
Society/People: 6
Shopping/Home and Garden: 4</t>
  </si>
  <si>
    <t>Recreation/Travel: 13
Shopping/Food: 12
Business/Energy: 10
Regional/North America: 9
Health/Medicine: 9
Business/Transportation and Logistics: 9
Arts/Movies: 7
Arts/Music: 7
Health: 7</t>
  </si>
  <si>
    <t>Recreation/Travel: 5
Business/Transportation and Logistics: 4
Regional/Europe: 4
Business: 4
Business/Construction and Maintenance: 4
Business/Automotive: 3
Arts/Performing Arts: 3
Computers/Internet: 3
Business/Financial Services: 3
Business/Business Services: 3</t>
  </si>
  <si>
    <t>Business/Textiles and Nonwovens: 7
Business/Industrial Goods and Services: 7
Business/Consumer Goods and Services: 5</t>
  </si>
  <si>
    <t>Society/People: 7
News/Headline Links: 3</t>
  </si>
  <si>
    <t>English: 96.4%
Italian: 3.5%</t>
  </si>
  <si>
    <t>English: 97.4%
Spanish: 1.5%
Thai: 0.3%
Hindi: 0.2%
Polish: 0.2%</t>
  </si>
  <si>
    <t>English: 83.1%
Korean: 15.8%
Japanese: 0.9%</t>
  </si>
  <si>
    <t>English: 99.1%
Spanish: 0.4%
Chinese: 0.1%
Lithuanian: 0.1%
Slovenian: 0.1%</t>
  </si>
  <si>
    <t>English: 97.1%
Japanese: 1.6%
Spanish: 0.3%
Chinese: 0.1%
German: 0.1%
Malay: 0.1%
Tagalog: 0.1%</t>
  </si>
  <si>
    <t>Russian: 90.1%
English: 7.6%
Ukrainian: 1.3%
French: 0.7%</t>
  </si>
  <si>
    <t>English: 71.5%
Dutch: 6.1%
Arabic: 4.2%
Turkish: 3.2%
Chinese: 2.8%
Czech: 2.3%
Greek: 1.8%
Danish: 1.6%
German: 1.4%
Russian: 1.1%</t>
  </si>
  <si>
    <t>English: 51.5%
Spanish: 7.9%
Danish: 6.6%
Dutch: 6.6%
German: 6.6%
Italian: 6.6%
Russian: 6.6%
Swedish: 6.6%
Chinese: 0.2%
French: 0.1%</t>
  </si>
  <si>
    <t>English: 95.7%
Chinese: 1.5%
Arabic: 0.4%
Japanese: 0.4%
Dutch: 0.3%
Portuguese: 0.3%
Russian: 0.3%
Vietnamese: 0.3%
Korean: 0.1%
Spanish: 0.1%</t>
  </si>
  <si>
    <t>English: 85.8%
Dutch: 13.4%
French: 0.6%</t>
  </si>
  <si>
    <t>English: 95.5%
Spanish: 2.4%
Hungarian: 1.3%
French: 0.2%
German: 0.1%
Russian: 0.1%</t>
  </si>
  <si>
    <t>English: 100%</t>
  </si>
  <si>
    <t>English: 98.3%
Estonian: 0.8%
French: 0.8%</t>
  </si>
  <si>
    <t>English: 97%
Spanish: 2.6%
Polish: 0.1%
Russian: 0.1%</t>
  </si>
  <si>
    <t>English: 99.9%</t>
  </si>
  <si>
    <t>English: 98.4%
Japanese: 0.7%
Russian: 0.2%
French: 0.1%
Spanish: 0.1%</t>
  </si>
  <si>
    <t>English: 99.6%
Russian: 0.2%
Chinese: 0.1%</t>
  </si>
  <si>
    <t>English: 99.3%
Russian: 0.1%
Italian: 0.1%
French: 0.1%
Korean: 0.1%</t>
  </si>
  <si>
    <t>English: 98.7%
Galician: 1.2%</t>
  </si>
  <si>
    <t>English: 99.8%</t>
  </si>
  <si>
    <t>English: 98.5%
Spanish: 1.4%</t>
  </si>
  <si>
    <t>English: 71.3%
Spanish: 25.8%
Portuguese: 1.1%
Russian: 1.1%
Indonesian: 0.5%</t>
  </si>
  <si>
    <t>English: 99.6%
Hindi: 0.3%</t>
  </si>
  <si>
    <t>English: 95.2%
Spanish: 2.3%
Chinese: 1.1%
Dutch: 1.1%</t>
  </si>
  <si>
    <t>Russian: 60.2%
English: 13.6%
Ukrainian: 6.2%
German: 2.3%
French: 1.6%
Portuguese: 1.6%
Dutch: 1.5%
Italian: 1.5%
Hindi: 1.5%
Georgian: 1.4%</t>
  </si>
  <si>
    <t>English: 99.1%
German: 0.4%
Portuguese: 0.4%</t>
  </si>
  <si>
    <t>English: 94.7%
Japanese: 2.1%
Chinese: 1%
French: 0.5%
Korean: 0.5%
Portuguese: 0.5%
Spanish: 0.5%</t>
  </si>
  <si>
    <t>English: 98.5%
Hungarian: 0.8%
Arabic: 0.2%
Italian: 0.2%</t>
  </si>
  <si>
    <t>English: 98.2%
Japanese: 1.7%</t>
  </si>
  <si>
    <t>English: 99.1%
Chinese: 0.2%
French: 0.2%
Dutch: 0.1%
Japanese: 0.1%
Persian: 0.1%</t>
  </si>
  <si>
    <t>English: 87.5%
Chinese: 6.2%
Japanese: 6.2%</t>
  </si>
  <si>
    <t>Polish: 43.2%
English: 32.9%
German: 14.5%
Arabic: 4.3%
Chinese: 2.7%
Spanish: 1%
Japanese: 0.5%
Russian: 0.5%</t>
  </si>
  <si>
    <t>English: 99.2%
German: 0.2%
Italian: 0.2%
Russian: 0.2%</t>
  </si>
  <si>
    <t>English: 81.3%
Chinese: 7.8%
Vietnamese: 3%
Russian: 1.1%
Japanese: 0.9%
French: 0.8%
Ukrainian: 0.8%
German: 0.7%
Italian: 0.5%
Persian: 0.4%</t>
  </si>
  <si>
    <t>English: 90.4%
Spanish: 7.1%
Russian: 2.3%</t>
  </si>
  <si>
    <t>English: 87%
German: 4.7%
Spanish: 4.3%
French: 1.2%
Czech: 0.8%
Italian: 0.4%
Japanese: 0.4%
Romanian: 0.4%
Turkish: 0.4%</t>
  </si>
  <si>
    <t>English: 97%
German: 2.6%
: 0.2%</t>
  </si>
  <si>
    <t>English: 82.9%
Spanish: 7.1%
French: 4.9%
Catalan: 2.1%
Italian: 1%
Serbian: 1%
Japanese: 0.5%</t>
  </si>
  <si>
    <t>English: 27.4%
Vietnamese: 24.5%
Russian: 12.9%
Indonesian: 8.3%
Danish: 6.1%
Spanish: 5.7%
Arabic: 4.3%
Thai: 2.1%
Portuguese: 2.1%
Bulgarian: 1.8%</t>
  </si>
  <si>
    <t>English: 97.6%
Japanese: 0.7%
Portuguese: 0.7%
Spanish: 0.5%
Dutch: 0.2%</t>
  </si>
  <si>
    <t>English: 99%
Japanese: 0.4%
Latin: 0.4%</t>
  </si>
  <si>
    <t>English: 95.2%
French: 1.2%
Arabic: 0.6%
Thai: 0.6%
Georgian: 0.3%
German: 0.3%
Hindi: 0.3%
Indonesian: 0.3%
Japanese: 0.3%
Slovak: 0.3%</t>
  </si>
  <si>
    <t>English: 80.7%
French: 10.2%
Spanish: 6.4%
German: 2.5%</t>
  </si>
  <si>
    <t>English: 85.6%
Persian: 12%
Russian: 1.3%
Kurdish: 0.7%
Spanish: 0.2%</t>
  </si>
  <si>
    <t>English: 94.1%
Arabic: 5.8%</t>
  </si>
  <si>
    <t>English: 51.1%
Russian: 11.6%
Italian: 9.3%
Dutch: 6.9%
Portuguese: 5.8%
German: 4.6%
French: 3.4%
Japanese: 2.3%
Korean: 1.1%
Malay: 1.1%</t>
  </si>
  <si>
    <t>italian</t>
  </si>
  <si>
    <t>spanish</t>
  </si>
  <si>
    <t>korean</t>
  </si>
  <si>
    <t>japanese</t>
  </si>
  <si>
    <t>russian</t>
  </si>
  <si>
    <t>dutch</t>
  </si>
  <si>
    <t>chinese</t>
  </si>
  <si>
    <t>None</t>
  </si>
  <si>
    <t>estonian</t>
  </si>
  <si>
    <t>galician</t>
  </si>
  <si>
    <t>french</t>
  </si>
  <si>
    <t>hindi</t>
  </si>
  <si>
    <t>german</t>
  </si>
  <si>
    <t>hungarian</t>
  </si>
  <si>
    <t>polish</t>
  </si>
  <si>
    <t>vietnamese</t>
  </si>
  <si>
    <t>persian</t>
  </si>
  <si>
    <t>arabic</t>
  </si>
  <si>
    <t>Domain Info</t>
  </si>
  <si>
    <t>Authority Metrics</t>
  </si>
  <si>
    <t>Majestic Metrics</t>
  </si>
  <si>
    <t>Referring Domains</t>
  </si>
  <si>
    <t>Backlinks</t>
  </si>
  <si>
    <t>Spam Score</t>
  </si>
  <si>
    <t>Analysing Tools</t>
  </si>
  <si>
    <t>Ratios</t>
  </si>
  <si>
    <t>Additional Metrics</t>
  </si>
  <si>
    <t>Language Metrics</t>
  </si>
  <si>
    <t>Price (USD)</t>
  </si>
  <si>
    <t>Price (AUD)</t>
  </si>
  <si>
    <t>Bids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</si>
</sst>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0" fontId="0" fillId="0" borderId="1" xfId="0" applyNumberFormat="1" applyBorder="1"/>
    <xf numFmtId="164" fontId="0" fillId="0" borderId="1" xfId="0" applyNumberFormat="1" applyBorder="1"/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64" fontId="0" fillId="12" borderId="1" xfId="0" applyNumberFormat="1" applyFill="1" applyBorder="1"/>
    <xf numFmtId="0" fontId="0" fillId="12" borderId="0" xfId="0" applyFill="1"/>
    <xf numFmtId="0" fontId="2" fillId="0" borderId="0" xfId="0" applyFont="1"/>
    <xf numFmtId="0" fontId="2" fillId="12" borderId="0" xfId="0" applyFont="1" applyFill="1"/>
    <xf numFmtId="10" fontId="0" fillId="12" borderId="1" xfId="0" applyNumberFormat="1" applyFill="1" applyBorder="1"/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0" fontId="0" fillId="12" borderId="2" xfId="0" applyNumberFormat="1" applyFill="1" applyBorder="1"/>
    <xf numFmtId="164" fontId="0" fillId="12" borderId="2" xfId="0" applyNumberFormat="1" applyFill="1" applyBorder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2:AI65" totalsRowShown="0">
  <autoFilter ref="A2:AI65" xr:uid="{00000000-0009-0000-0100-000001000000}"/>
  <sortState xmlns:xlrd2="http://schemas.microsoft.com/office/spreadsheetml/2017/richdata2" ref="A3:AI65">
    <sortCondition descending="1" ref="AG2:AG65"/>
  </sortState>
  <tableColumns count="35">
    <tableColumn id="1" xr3:uid="{00000000-0010-0000-0000-000001000000}" name="Name"/>
    <tableColumn id="2" xr3:uid="{00000000-0010-0000-0000-000002000000}" name="Source"/>
    <tableColumn id="3" xr3:uid="{00000000-0010-0000-0000-000003000000}" name="Moz DA"/>
    <tableColumn id="4" xr3:uid="{00000000-0010-0000-0000-000004000000}" name="SEMRUSH AUTHORITY SCORE (AS)"/>
    <tableColumn id="5" xr3:uid="{00000000-0010-0000-0000-000005000000}" name="AHREFS DR"/>
    <tableColumn id="6" xr3:uid="{00000000-0010-0000-0000-000006000000}" name="MAJESTIC TRUST FLOW"/>
    <tableColumn id="7" xr3:uid="{00000000-0010-0000-0000-000007000000}" name="MAJESTIC CITATION FLOW"/>
    <tableColumn id="8" xr3:uid="{00000000-0010-0000-0000-000008000000}" name="SEMrush Referring Domains"/>
    <tableColumn id="9" xr3:uid="{00000000-0010-0000-0000-000009000000}" name="Majestic Referring Domains"/>
    <tableColumn id="10" xr3:uid="{00000000-0010-0000-0000-00000A000000}" name="AHREFS REFERRING WEBSITES"/>
    <tableColumn id="11" xr3:uid="{00000000-0010-0000-0000-00000B000000}" name="SEMrush Backlinks"/>
    <tableColumn id="12" xr3:uid="{00000000-0010-0000-0000-00000C000000}" name="Majestic Backlinks"/>
    <tableColumn id="13" xr3:uid="{00000000-0010-0000-0000-00000D000000}" name="IPs"/>
    <tableColumn id="14" xr3:uid="{00000000-0010-0000-0000-00000E000000}" name="AHREFS BACKLINKS"/>
    <tableColumn id="15" xr3:uid="{00000000-0010-0000-0000-00000F000000}" name="SZ Score"/>
    <tableColumn id="16" xr3:uid="{00000000-0010-0000-0000-000010000000}" name="Variance"/>
    <tableColumn id="17" xr3:uid="{00000000-0010-0000-0000-000011000000}" name="Total Link to Follow Ratio (%)"/>
    <tableColumn id="18" xr3:uid="{00000000-0010-0000-0000-000012000000}" name="SEMRUSH (Backlinks/Referring domains)"/>
    <tableColumn id="19" xr3:uid="{00000000-0010-0000-0000-000013000000}" name="MAJESTIC (Backlinks/Referring domains)"/>
    <tableColumn id="20" xr3:uid="{00000000-0010-0000-0000-000014000000}" name="Age"/>
    <tableColumn id="21" xr3:uid="{00000000-0010-0000-0000-000015000000}" name="Internal Links"/>
    <tableColumn id="22" xr3:uid="{00000000-0010-0000-0000-000016000000}" name="External Links"/>
    <tableColumn id="23" xr3:uid="{00000000-0010-0000-0000-000017000000}" name="External Domains"/>
    <tableColumn id="24" xr3:uid="{00000000-0010-0000-0000-000018000000}" name="Google Indexed Pages"/>
    <tableColumn id="25" xr3:uid="{00000000-0010-0000-0000-000019000000}" name="SZ Drops"/>
    <tableColumn id="26" xr3:uid="{00000000-0010-0000-0000-00001A000000}" name="SZ Parked"/>
    <tableColumn id="27" xr3:uid="{00000000-0010-0000-0000-00001B000000}" name="Majestic Topics"/>
    <tableColumn id="28" xr3:uid="{00000000-0010-0000-0000-00001C000000}" name="Majestic Languages"/>
    <tableColumn id="29" xr3:uid="{00000000-0010-0000-0000-00001D000000}" name="English %"/>
    <tableColumn id="30" xr3:uid="{00000000-0010-0000-0000-00001E000000}" name="Second Language"/>
    <tableColumn id="31" xr3:uid="{00000000-0010-0000-0000-00001F000000}" name="Second Language %"/>
    <tableColumn id="32" xr3:uid="{00000000-0010-0000-0000-000020000000}" name="Language Count"/>
    <tableColumn id="33" xr3:uid="{00000000-0010-0000-0000-000021000000}" name="Price (USD)"/>
    <tableColumn id="34" xr3:uid="{00000000-0010-0000-0000-000022000000}" name="Price (AUD)"/>
    <tableColumn id="35" xr3:uid="{00000000-0010-0000-0000-000023000000}" name="Bid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5"/>
  <sheetViews>
    <sheetView tabSelected="1" workbookViewId="0">
      <selection activeCell="K28" sqref="A28:XFD28"/>
    </sheetView>
  </sheetViews>
  <sheetFormatPr defaultRowHeight="14.5" x14ac:dyDescent="0.35"/>
  <cols>
    <col min="1" max="1" width="30.7265625" customWidth="1"/>
    <col min="2" max="2" width="19.7265625" customWidth="1"/>
    <col min="3" max="3" width="9.7265625" customWidth="1"/>
    <col min="4" max="4" width="31.7265625" customWidth="1"/>
    <col min="5" max="5" width="12.7265625" customWidth="1"/>
    <col min="6" max="6" width="22.7265625" customWidth="1"/>
    <col min="7" max="7" width="25.7265625" customWidth="1"/>
    <col min="8" max="8" width="28.7265625" customWidth="1"/>
    <col min="9" max="9" width="29.7265625" customWidth="1"/>
    <col min="10" max="10" width="28.7265625" customWidth="1"/>
    <col min="11" max="11" width="20.7265625" customWidth="1"/>
    <col min="12" max="12" width="21.7265625" customWidth="1"/>
    <col min="13" max="13" width="6.7265625" customWidth="1"/>
    <col min="14" max="14" width="19.7265625" customWidth="1"/>
    <col min="15" max="16" width="11.7265625" customWidth="1"/>
    <col min="17" max="17" width="9.1796875" style="1"/>
    <col min="18" max="18" width="40.7265625" customWidth="1"/>
    <col min="19" max="19" width="41.7265625" customWidth="1"/>
    <col min="20" max="20" width="6.7265625" customWidth="1"/>
    <col min="21" max="22" width="17.7265625" customWidth="1"/>
    <col min="23" max="23" width="19.7265625" customWidth="1"/>
    <col min="24" max="24" width="23.7265625" customWidth="1"/>
    <col min="25" max="25" width="11.7265625" customWidth="1"/>
    <col min="26" max="26" width="12.7265625" customWidth="1"/>
    <col min="27" max="27" width="316.7265625" customWidth="1"/>
    <col min="28" max="28" width="151.7265625" customWidth="1"/>
    <col min="29" max="29" width="20.26953125" style="2" customWidth="1"/>
    <col min="30" max="30" width="18.7265625" customWidth="1"/>
    <col min="31" max="31" width="9.1796875" style="2"/>
    <col min="32" max="32" width="17.7265625" customWidth="1"/>
    <col min="33" max="34" width="6.7265625" customWidth="1"/>
    <col min="35" max="35" width="13.7265625" customWidth="1"/>
  </cols>
  <sheetData>
    <row r="1" spans="1:35" x14ac:dyDescent="0.35">
      <c r="A1" s="13" t="s">
        <v>223</v>
      </c>
      <c r="B1" s="13"/>
      <c r="C1" s="14" t="s">
        <v>224</v>
      </c>
      <c r="D1" s="14"/>
      <c r="E1" s="14"/>
      <c r="F1" s="15" t="s">
        <v>225</v>
      </c>
      <c r="G1" s="15"/>
      <c r="H1" s="16" t="s">
        <v>226</v>
      </c>
      <c r="I1" s="16"/>
      <c r="J1" s="16"/>
      <c r="K1" s="17" t="s">
        <v>227</v>
      </c>
      <c r="L1" s="17"/>
      <c r="M1" s="17"/>
      <c r="N1" s="17"/>
      <c r="O1" s="3" t="s">
        <v>228</v>
      </c>
      <c r="P1" s="4" t="s">
        <v>229</v>
      </c>
      <c r="Q1" s="10" t="s">
        <v>230</v>
      </c>
      <c r="R1" s="10"/>
      <c r="S1" s="10"/>
      <c r="T1" s="11" t="s">
        <v>231</v>
      </c>
      <c r="U1" s="11"/>
      <c r="V1" s="11"/>
      <c r="W1" s="11"/>
      <c r="X1" s="11"/>
      <c r="Y1" s="11"/>
      <c r="Z1" s="11"/>
      <c r="AA1" s="12" t="s">
        <v>232</v>
      </c>
      <c r="AB1" s="12"/>
      <c r="AC1" s="12"/>
      <c r="AD1" s="12"/>
      <c r="AE1" s="12"/>
    </row>
    <row r="2" spans="1:3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s="1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s="2" t="s">
        <v>28</v>
      </c>
      <c r="AD2" t="s">
        <v>29</v>
      </c>
      <c r="AE2" s="2" t="s">
        <v>30</v>
      </c>
      <c r="AF2" t="s">
        <v>31</v>
      </c>
      <c r="AG2" t="s">
        <v>233</v>
      </c>
      <c r="AH2" t="s">
        <v>234</v>
      </c>
      <c r="AI2" t="s">
        <v>235</v>
      </c>
    </row>
    <row r="3" spans="1:35" x14ac:dyDescent="0.35">
      <c r="A3" t="s">
        <v>60</v>
      </c>
      <c r="B3" t="s">
        <v>95</v>
      </c>
      <c r="C3">
        <v>30</v>
      </c>
      <c r="D3">
        <v>26</v>
      </c>
      <c r="F3">
        <v>10</v>
      </c>
      <c r="G3">
        <v>19</v>
      </c>
      <c r="H3">
        <v>205</v>
      </c>
      <c r="I3">
        <v>88</v>
      </c>
      <c r="K3">
        <v>766</v>
      </c>
      <c r="L3">
        <v>239</v>
      </c>
      <c r="M3">
        <v>214</v>
      </c>
      <c r="O3">
        <v>12</v>
      </c>
      <c r="P3" t="e">
        <f ca="1">_xludf.VAR.P(C3, D3, F3, G3)</f>
        <v>#NAME?</v>
      </c>
      <c r="Q3" s="1">
        <v>0.66099476439790572</v>
      </c>
      <c r="R3">
        <v>3.7365853658536592</v>
      </c>
      <c r="S3">
        <v>2.7159090909090908</v>
      </c>
      <c r="T3">
        <v>14</v>
      </c>
      <c r="U3">
        <v>0</v>
      </c>
      <c r="V3">
        <v>0</v>
      </c>
      <c r="W3">
        <v>0</v>
      </c>
      <c r="X3">
        <v>31</v>
      </c>
      <c r="Y3">
        <v>1</v>
      </c>
      <c r="Z3">
        <v>0</v>
      </c>
      <c r="AA3" t="s">
        <v>124</v>
      </c>
      <c r="AB3" t="s">
        <v>184</v>
      </c>
      <c r="AC3" s="2">
        <v>0.99099999999999999</v>
      </c>
      <c r="AD3" t="s">
        <v>217</v>
      </c>
      <c r="AE3" s="2">
        <v>4.0000000000000001E-3</v>
      </c>
      <c r="AF3">
        <v>3</v>
      </c>
      <c r="AG3">
        <v>10500</v>
      </c>
      <c r="AH3">
        <v>16590</v>
      </c>
      <c r="AI3">
        <v>74</v>
      </c>
    </row>
    <row r="4" spans="1:35" x14ac:dyDescent="0.35">
      <c r="A4" t="s">
        <v>61</v>
      </c>
      <c r="B4" t="s">
        <v>95</v>
      </c>
      <c r="C4">
        <v>27</v>
      </c>
      <c r="D4">
        <v>32</v>
      </c>
      <c r="F4">
        <v>9</v>
      </c>
      <c r="G4">
        <v>19</v>
      </c>
      <c r="H4">
        <v>177</v>
      </c>
      <c r="I4">
        <v>97</v>
      </c>
      <c r="K4">
        <v>544</v>
      </c>
      <c r="L4">
        <v>227</v>
      </c>
      <c r="M4">
        <v>203</v>
      </c>
      <c r="O4">
        <v>12</v>
      </c>
      <c r="P4" t="e">
        <f ca="1">_xludf.VAR.P(C4, D4, F4, G4)</f>
        <v>#NAME?</v>
      </c>
      <c r="Q4" s="1">
        <v>0.52757352941176472</v>
      </c>
      <c r="R4">
        <v>3.0734463276836159</v>
      </c>
      <c r="S4">
        <v>2.34020618556701</v>
      </c>
      <c r="T4">
        <v>12</v>
      </c>
      <c r="U4">
        <v>10</v>
      </c>
      <c r="V4">
        <v>3</v>
      </c>
      <c r="W4">
        <v>3</v>
      </c>
      <c r="X4">
        <v>6</v>
      </c>
      <c r="Y4">
        <v>0</v>
      </c>
      <c r="Z4">
        <v>0</v>
      </c>
      <c r="AA4" t="s">
        <v>125</v>
      </c>
      <c r="AB4" t="s">
        <v>185</v>
      </c>
      <c r="AC4" s="2">
        <v>0.94700000000000006</v>
      </c>
      <c r="AD4" t="s">
        <v>208</v>
      </c>
      <c r="AE4" s="2">
        <v>2.1000000000000001E-2</v>
      </c>
      <c r="AF4">
        <v>7</v>
      </c>
      <c r="AG4">
        <v>5238</v>
      </c>
      <c r="AH4">
        <v>8276.0400000000009</v>
      </c>
      <c r="AI4">
        <v>60</v>
      </c>
    </row>
    <row r="5" spans="1:35" x14ac:dyDescent="0.35">
      <c r="A5" t="s">
        <v>39</v>
      </c>
      <c r="B5" t="s">
        <v>95</v>
      </c>
      <c r="C5">
        <v>24</v>
      </c>
      <c r="D5">
        <v>5</v>
      </c>
      <c r="F5">
        <v>26</v>
      </c>
      <c r="G5">
        <v>21</v>
      </c>
      <c r="H5">
        <v>207</v>
      </c>
      <c r="I5">
        <v>122</v>
      </c>
      <c r="K5">
        <v>850</v>
      </c>
      <c r="L5">
        <v>946</v>
      </c>
      <c r="M5">
        <v>247</v>
      </c>
      <c r="O5">
        <v>5</v>
      </c>
      <c r="P5" t="e">
        <f ca="1">_xludf.VAR.P(C5, D5, F5, G5)</f>
        <v>#NAME?</v>
      </c>
      <c r="Q5" s="1">
        <v>0.8409893992932862</v>
      </c>
      <c r="R5">
        <v>4.1062801932367146</v>
      </c>
      <c r="S5">
        <v>7.7540983606557381</v>
      </c>
      <c r="T5">
        <v>13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 t="s">
        <v>103</v>
      </c>
      <c r="AB5" t="s">
        <v>166</v>
      </c>
      <c r="AC5" s="2">
        <v>0.51500000000000001</v>
      </c>
      <c r="AD5" t="s">
        <v>206</v>
      </c>
      <c r="AE5" s="2">
        <v>7.9000000000000001E-2</v>
      </c>
      <c r="AF5">
        <v>10</v>
      </c>
      <c r="AG5">
        <v>5200</v>
      </c>
      <c r="AH5">
        <v>8216</v>
      </c>
      <c r="AI5">
        <v>55</v>
      </c>
    </row>
    <row r="6" spans="1:35" s="6" customFormat="1" x14ac:dyDescent="0.35">
      <c r="A6" t="s">
        <v>52</v>
      </c>
      <c r="B6" t="s">
        <v>95</v>
      </c>
      <c r="C6">
        <v>37</v>
      </c>
      <c r="D6">
        <v>13</v>
      </c>
      <c r="E6"/>
      <c r="F6">
        <v>12</v>
      </c>
      <c r="G6">
        <v>24</v>
      </c>
      <c r="H6">
        <v>496</v>
      </c>
      <c r="I6">
        <v>231</v>
      </c>
      <c r="J6"/>
      <c r="K6">
        <v>10280</v>
      </c>
      <c r="L6">
        <v>4759</v>
      </c>
      <c r="M6">
        <v>498</v>
      </c>
      <c r="N6"/>
      <c r="O6">
        <v>10</v>
      </c>
      <c r="P6" t="e">
        <f ca="1">_xludf.VAR.P(C6, D6, F6, G6)</f>
        <v>#NAME?</v>
      </c>
      <c r="Q6" s="1">
        <v>0.87867003694341828</v>
      </c>
      <c r="R6">
        <v>20.7258064516129</v>
      </c>
      <c r="S6">
        <v>20.601731601731601</v>
      </c>
      <c r="T6">
        <v>14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 t="s">
        <v>116</v>
      </c>
      <c r="AB6" t="s">
        <v>176</v>
      </c>
      <c r="AC6" s="2">
        <v>0.99299999999999999</v>
      </c>
      <c r="AD6" t="s">
        <v>209</v>
      </c>
      <c r="AE6" s="2">
        <v>1E-3</v>
      </c>
      <c r="AF6">
        <v>5</v>
      </c>
      <c r="AG6">
        <v>4550</v>
      </c>
      <c r="AH6">
        <v>7189</v>
      </c>
      <c r="AI6">
        <v>163</v>
      </c>
    </row>
    <row r="7" spans="1:35" x14ac:dyDescent="0.35">
      <c r="A7" t="s">
        <v>48</v>
      </c>
      <c r="B7" t="s">
        <v>95</v>
      </c>
      <c r="C7">
        <v>32</v>
      </c>
      <c r="D7">
        <v>14</v>
      </c>
      <c r="F7">
        <v>16</v>
      </c>
      <c r="G7">
        <v>21</v>
      </c>
      <c r="H7">
        <v>274</v>
      </c>
      <c r="I7">
        <v>847</v>
      </c>
      <c r="K7">
        <v>2874</v>
      </c>
      <c r="L7">
        <v>2221</v>
      </c>
      <c r="M7">
        <v>358</v>
      </c>
      <c r="O7">
        <v>8</v>
      </c>
      <c r="P7" t="e">
        <f ca="1">_xludf.VAR.P(C7, D7, F7, G7)</f>
        <v>#NAME?</v>
      </c>
      <c r="Q7" s="1">
        <v>0.29018789144050111</v>
      </c>
      <c r="R7">
        <v>10.48905109489051</v>
      </c>
      <c r="S7">
        <v>2.62219598583235</v>
      </c>
      <c r="T7">
        <v>9</v>
      </c>
      <c r="U7">
        <v>1</v>
      </c>
      <c r="V7">
        <v>0</v>
      </c>
      <c r="W7">
        <v>0</v>
      </c>
      <c r="X7">
        <v>2</v>
      </c>
      <c r="Y7">
        <v>0</v>
      </c>
      <c r="Z7">
        <v>0</v>
      </c>
      <c r="AA7" t="s">
        <v>112</v>
      </c>
      <c r="AB7" t="s">
        <v>173</v>
      </c>
      <c r="AC7" s="2">
        <v>0.99900000000000011</v>
      </c>
      <c r="AD7" t="s">
        <v>212</v>
      </c>
      <c r="AE7" s="2">
        <v>0</v>
      </c>
      <c r="AF7">
        <v>1</v>
      </c>
      <c r="AG7">
        <v>4494</v>
      </c>
      <c r="AH7">
        <v>7100.52</v>
      </c>
      <c r="AI7">
        <v>63</v>
      </c>
    </row>
    <row r="8" spans="1:35" x14ac:dyDescent="0.35">
      <c r="A8" s="7" t="s">
        <v>64</v>
      </c>
      <c r="B8" t="s">
        <v>95</v>
      </c>
      <c r="C8">
        <v>31</v>
      </c>
      <c r="D8">
        <v>28</v>
      </c>
      <c r="F8">
        <v>15</v>
      </c>
      <c r="G8">
        <v>23</v>
      </c>
      <c r="H8">
        <v>408</v>
      </c>
      <c r="I8">
        <v>290</v>
      </c>
      <c r="K8">
        <v>1254</v>
      </c>
      <c r="L8">
        <v>954</v>
      </c>
      <c r="M8">
        <v>335</v>
      </c>
      <c r="O8">
        <v>13</v>
      </c>
      <c r="P8" t="e">
        <f ca="1">_xludf.VAR.P(C8, D8, F8, G8)</f>
        <v>#NAME?</v>
      </c>
      <c r="Q8" s="1">
        <v>0.48845166809238671</v>
      </c>
      <c r="R8">
        <v>3.0735294117647061</v>
      </c>
      <c r="S8">
        <v>3.2896551724137928</v>
      </c>
      <c r="T8">
        <v>7</v>
      </c>
      <c r="U8">
        <v>1</v>
      </c>
      <c r="V8">
        <v>0</v>
      </c>
      <c r="W8">
        <v>0</v>
      </c>
      <c r="X8">
        <v>94</v>
      </c>
      <c r="Y8">
        <v>0</v>
      </c>
      <c r="Z8">
        <v>0</v>
      </c>
      <c r="AA8" t="s">
        <v>128</v>
      </c>
      <c r="AB8" t="s">
        <v>188</v>
      </c>
      <c r="AC8" s="2">
        <v>0.99099999999999999</v>
      </c>
      <c r="AD8" t="s">
        <v>211</v>
      </c>
      <c r="AE8" s="2">
        <v>2E-3</v>
      </c>
      <c r="AF8">
        <v>6</v>
      </c>
      <c r="AG8">
        <v>4494</v>
      </c>
      <c r="AH8">
        <v>7100.52</v>
      </c>
      <c r="AI8">
        <v>43</v>
      </c>
    </row>
    <row r="9" spans="1:35" x14ac:dyDescent="0.35">
      <c r="A9" t="s">
        <v>42</v>
      </c>
      <c r="B9" t="s">
        <v>95</v>
      </c>
      <c r="C9">
        <v>40</v>
      </c>
      <c r="D9">
        <v>27</v>
      </c>
      <c r="F9">
        <v>15</v>
      </c>
      <c r="G9">
        <v>27</v>
      </c>
      <c r="H9">
        <v>530</v>
      </c>
      <c r="I9">
        <v>2002</v>
      </c>
      <c r="K9">
        <v>4812</v>
      </c>
      <c r="L9">
        <v>4301</v>
      </c>
      <c r="M9">
        <v>572</v>
      </c>
      <c r="O9">
        <v>6</v>
      </c>
      <c r="P9" t="e">
        <f ca="1">_xludf.VAR.P(C9, D9, F9, G9)</f>
        <v>#NAME?</v>
      </c>
      <c r="Q9" s="1">
        <v>0.5272045028142589</v>
      </c>
      <c r="R9">
        <v>9.0792452830188672</v>
      </c>
      <c r="S9">
        <v>2.1483516483516478</v>
      </c>
      <c r="T9">
        <v>19</v>
      </c>
      <c r="U9">
        <v>2</v>
      </c>
      <c r="V9">
        <v>1</v>
      </c>
      <c r="W9">
        <v>1</v>
      </c>
      <c r="X9">
        <v>81</v>
      </c>
      <c r="Y9">
        <v>1</v>
      </c>
      <c r="Z9">
        <v>0</v>
      </c>
      <c r="AA9" t="s">
        <v>106</v>
      </c>
      <c r="AB9" t="s">
        <v>169</v>
      </c>
      <c r="AC9" s="2">
        <v>0.95499999999999996</v>
      </c>
      <c r="AD9" t="s">
        <v>206</v>
      </c>
      <c r="AE9" s="2">
        <v>2.4E-2</v>
      </c>
      <c r="AF9">
        <v>6</v>
      </c>
      <c r="AG9">
        <v>4239</v>
      </c>
      <c r="AH9">
        <v>6697.62</v>
      </c>
      <c r="AI9">
        <v>59</v>
      </c>
    </row>
    <row r="10" spans="1:35" x14ac:dyDescent="0.35">
      <c r="A10" t="s">
        <v>44</v>
      </c>
      <c r="B10" t="s">
        <v>95</v>
      </c>
      <c r="C10">
        <v>32</v>
      </c>
      <c r="D10">
        <v>10</v>
      </c>
      <c r="F10">
        <v>18</v>
      </c>
      <c r="G10">
        <v>18</v>
      </c>
      <c r="H10">
        <v>193</v>
      </c>
      <c r="I10">
        <v>111</v>
      </c>
      <c r="K10">
        <v>564</v>
      </c>
      <c r="L10">
        <v>194</v>
      </c>
      <c r="M10">
        <v>203</v>
      </c>
      <c r="O10">
        <v>6</v>
      </c>
      <c r="P10" t="e">
        <f ca="1">_xludf.VAR.P(C10, D10, F10, G10)</f>
        <v>#NAME?</v>
      </c>
      <c r="Q10" s="1">
        <v>0.5950266429840142</v>
      </c>
      <c r="R10">
        <v>2.9222797927461142</v>
      </c>
      <c r="S10">
        <v>1.7477477477477481</v>
      </c>
      <c r="T10">
        <v>21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 t="s">
        <v>108</v>
      </c>
      <c r="AB10" t="s">
        <v>171</v>
      </c>
      <c r="AC10" s="2">
        <v>0.98299999999999998</v>
      </c>
      <c r="AD10" t="s">
        <v>213</v>
      </c>
      <c r="AE10" s="2">
        <v>8.0000000000000002E-3</v>
      </c>
      <c r="AF10">
        <v>3</v>
      </c>
      <c r="AG10">
        <v>3350</v>
      </c>
      <c r="AH10">
        <v>5293</v>
      </c>
      <c r="AI10">
        <v>77</v>
      </c>
    </row>
    <row r="11" spans="1:35" x14ac:dyDescent="0.35">
      <c r="A11" t="s">
        <v>40</v>
      </c>
      <c r="B11" t="s">
        <v>95</v>
      </c>
      <c r="C11">
        <v>40</v>
      </c>
      <c r="D11">
        <v>5</v>
      </c>
      <c r="F11">
        <v>14</v>
      </c>
      <c r="G11">
        <v>19</v>
      </c>
      <c r="H11">
        <v>260</v>
      </c>
      <c r="I11">
        <v>136</v>
      </c>
      <c r="K11">
        <v>690</v>
      </c>
      <c r="L11">
        <v>636</v>
      </c>
      <c r="M11">
        <v>268</v>
      </c>
      <c r="O11">
        <v>5</v>
      </c>
      <c r="P11" t="e">
        <f ca="1">_xludf.VAR.P(C11, D11, F11, G11)</f>
        <v>#NAME?</v>
      </c>
      <c r="Q11" s="1">
        <v>0.84225759768451525</v>
      </c>
      <c r="R11">
        <v>2.6538461538461542</v>
      </c>
      <c r="S11">
        <v>4.6764705882352944</v>
      </c>
      <c r="T11">
        <v>19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 t="s">
        <v>104</v>
      </c>
      <c r="AB11" t="s">
        <v>167</v>
      </c>
      <c r="AC11" s="2">
        <v>0.95700000000000007</v>
      </c>
      <c r="AD11" t="s">
        <v>211</v>
      </c>
      <c r="AE11" s="2">
        <v>1.4999999999999999E-2</v>
      </c>
      <c r="AF11">
        <v>10</v>
      </c>
      <c r="AG11">
        <v>3050</v>
      </c>
      <c r="AH11">
        <v>4819</v>
      </c>
      <c r="AI11">
        <v>65</v>
      </c>
    </row>
    <row r="12" spans="1:35" x14ac:dyDescent="0.35">
      <c r="A12" t="s">
        <v>41</v>
      </c>
      <c r="B12" t="s">
        <v>95</v>
      </c>
      <c r="C12">
        <v>22</v>
      </c>
      <c r="D12">
        <v>12</v>
      </c>
      <c r="F12">
        <v>16</v>
      </c>
      <c r="G12">
        <v>17</v>
      </c>
      <c r="H12">
        <v>122</v>
      </c>
      <c r="I12">
        <v>57</v>
      </c>
      <c r="K12">
        <v>508</v>
      </c>
      <c r="L12">
        <v>160</v>
      </c>
      <c r="M12">
        <v>130</v>
      </c>
      <c r="O12">
        <v>5</v>
      </c>
      <c r="P12" t="e">
        <f ca="1">_xludf.VAR.P(C12, D12, F12, G12)</f>
        <v>#NAME?</v>
      </c>
      <c r="Q12" s="1">
        <v>0.90766208251473479</v>
      </c>
      <c r="R12">
        <v>4.1639344262295079</v>
      </c>
      <c r="S12">
        <v>2.807017543859649</v>
      </c>
      <c r="T12">
        <v>26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 t="s">
        <v>105</v>
      </c>
      <c r="AB12" t="s">
        <v>168</v>
      </c>
      <c r="AC12" s="2">
        <v>0.85799999999999998</v>
      </c>
      <c r="AD12" t="s">
        <v>210</v>
      </c>
      <c r="AE12" s="2">
        <v>0.13400000000000001</v>
      </c>
      <c r="AF12">
        <v>3</v>
      </c>
      <c r="AG12">
        <v>2950</v>
      </c>
      <c r="AH12">
        <v>4661</v>
      </c>
      <c r="AI12">
        <v>55</v>
      </c>
    </row>
    <row r="13" spans="1:35" x14ac:dyDescent="0.35">
      <c r="A13" t="s">
        <v>68</v>
      </c>
      <c r="B13" t="s">
        <v>95</v>
      </c>
      <c r="C13">
        <v>33</v>
      </c>
      <c r="D13">
        <v>21</v>
      </c>
      <c r="F13">
        <v>17</v>
      </c>
      <c r="G13">
        <v>19</v>
      </c>
      <c r="H13">
        <v>289</v>
      </c>
      <c r="I13">
        <v>215</v>
      </c>
      <c r="K13">
        <v>678</v>
      </c>
      <c r="L13">
        <v>433</v>
      </c>
      <c r="M13">
        <v>191</v>
      </c>
      <c r="O13">
        <v>13</v>
      </c>
      <c r="P13" t="e">
        <f ca="1">_xludf.VAR.P(C13, D13, F13, G13)</f>
        <v>#NAME?</v>
      </c>
      <c r="Q13" s="1">
        <v>0.59734513274336287</v>
      </c>
      <c r="R13">
        <v>2.3460207612456752</v>
      </c>
      <c r="S13">
        <v>2.0139534883720929</v>
      </c>
      <c r="T13">
        <v>9</v>
      </c>
      <c r="U13">
        <v>1</v>
      </c>
      <c r="V13">
        <v>0</v>
      </c>
      <c r="W13">
        <v>0</v>
      </c>
      <c r="Y13">
        <v>4</v>
      </c>
      <c r="Z13">
        <v>0</v>
      </c>
      <c r="AA13" t="s">
        <v>132</v>
      </c>
      <c r="AB13" t="s">
        <v>191</v>
      </c>
      <c r="AC13" s="2">
        <v>0.99199999999999999</v>
      </c>
      <c r="AD13" t="s">
        <v>217</v>
      </c>
      <c r="AE13" s="2">
        <v>2E-3</v>
      </c>
      <c r="AF13">
        <v>4</v>
      </c>
      <c r="AG13">
        <v>2716</v>
      </c>
      <c r="AH13">
        <v>4291.28</v>
      </c>
      <c r="AI13">
        <v>16</v>
      </c>
    </row>
    <row r="14" spans="1:35" x14ac:dyDescent="0.35">
      <c r="A14" t="s">
        <v>36</v>
      </c>
      <c r="B14" t="s">
        <v>95</v>
      </c>
      <c r="C14">
        <v>32</v>
      </c>
      <c r="D14">
        <v>26</v>
      </c>
      <c r="F14">
        <v>27</v>
      </c>
      <c r="G14">
        <v>22</v>
      </c>
      <c r="H14">
        <v>256</v>
      </c>
      <c r="I14">
        <v>112</v>
      </c>
      <c r="K14">
        <v>780</v>
      </c>
      <c r="L14">
        <v>550</v>
      </c>
      <c r="M14">
        <v>271</v>
      </c>
      <c r="O14">
        <v>3</v>
      </c>
      <c r="P14" t="e">
        <f ca="1">_xludf.VAR.P(C14, D14, F14, G14)</f>
        <v>#NAME?</v>
      </c>
      <c r="Q14" s="1">
        <v>0.81282051282051282</v>
      </c>
      <c r="R14">
        <v>3.046875</v>
      </c>
      <c r="S14">
        <v>4.9107142857142856</v>
      </c>
      <c r="T14">
        <v>25</v>
      </c>
      <c r="U14">
        <v>1</v>
      </c>
      <c r="V14">
        <v>0</v>
      </c>
      <c r="W14">
        <v>0</v>
      </c>
      <c r="X14">
        <v>0</v>
      </c>
      <c r="Y14">
        <v>1</v>
      </c>
      <c r="Z14">
        <v>0</v>
      </c>
      <c r="AA14" t="s">
        <v>100</v>
      </c>
      <c r="AB14" t="s">
        <v>163</v>
      </c>
      <c r="AC14" s="2">
        <v>0.97099999999999997</v>
      </c>
      <c r="AD14" t="s">
        <v>208</v>
      </c>
      <c r="AE14" s="2">
        <v>1.6E-2</v>
      </c>
      <c r="AF14">
        <v>7</v>
      </c>
      <c r="AG14">
        <v>2650</v>
      </c>
      <c r="AH14">
        <v>4187</v>
      </c>
      <c r="AI14">
        <v>61</v>
      </c>
    </row>
    <row r="15" spans="1:35" x14ac:dyDescent="0.35">
      <c r="A15" t="s">
        <v>59</v>
      </c>
      <c r="B15" t="s">
        <v>95</v>
      </c>
      <c r="C15">
        <v>35</v>
      </c>
      <c r="D15">
        <v>23</v>
      </c>
      <c r="F15">
        <v>11</v>
      </c>
      <c r="G15">
        <v>28</v>
      </c>
      <c r="H15">
        <v>878</v>
      </c>
      <c r="I15">
        <v>444</v>
      </c>
      <c r="K15">
        <v>4550</v>
      </c>
      <c r="L15">
        <v>2467</v>
      </c>
      <c r="M15">
        <v>853</v>
      </c>
      <c r="O15">
        <v>12</v>
      </c>
      <c r="P15" t="e">
        <f ca="1">_xludf.VAR.P(C15, D15, F15, G15)</f>
        <v>#NAME?</v>
      </c>
      <c r="Q15" s="1">
        <v>0.67333919929608443</v>
      </c>
      <c r="R15">
        <v>5.1822323462414577</v>
      </c>
      <c r="S15">
        <v>5.5563063063063067</v>
      </c>
      <c r="T15">
        <v>10</v>
      </c>
      <c r="U15">
        <v>28</v>
      </c>
      <c r="V15">
        <v>14</v>
      </c>
      <c r="W15">
        <v>3</v>
      </c>
      <c r="X15">
        <v>321</v>
      </c>
      <c r="Y15">
        <v>0</v>
      </c>
      <c r="Z15">
        <v>0</v>
      </c>
      <c r="AA15" t="s">
        <v>123</v>
      </c>
      <c r="AB15" t="s">
        <v>183</v>
      </c>
      <c r="AC15" s="5">
        <v>0.13600000000000001</v>
      </c>
      <c r="AD15" t="s">
        <v>209</v>
      </c>
      <c r="AE15" s="2">
        <v>0.60199999999999998</v>
      </c>
      <c r="AF15">
        <v>10</v>
      </c>
      <c r="AG15">
        <v>2025</v>
      </c>
      <c r="AH15">
        <v>3199.5</v>
      </c>
      <c r="AI15">
        <v>23</v>
      </c>
    </row>
    <row r="16" spans="1:35" x14ac:dyDescent="0.35">
      <c r="A16" t="s">
        <v>51</v>
      </c>
      <c r="B16" t="s">
        <v>95</v>
      </c>
      <c r="C16">
        <v>22</v>
      </c>
      <c r="D16">
        <v>17</v>
      </c>
      <c r="F16">
        <v>11</v>
      </c>
      <c r="G16">
        <v>16</v>
      </c>
      <c r="H16">
        <v>179</v>
      </c>
      <c r="I16">
        <v>75</v>
      </c>
      <c r="K16">
        <v>966</v>
      </c>
      <c r="L16">
        <v>223</v>
      </c>
      <c r="M16">
        <v>173</v>
      </c>
      <c r="O16">
        <v>9</v>
      </c>
      <c r="P16" t="e">
        <f ca="1">_xludf.VAR.P(C16, D16, F16, G16)</f>
        <v>#NAME?</v>
      </c>
      <c r="Q16" s="1">
        <v>0.88934850051706305</v>
      </c>
      <c r="R16">
        <v>5.3966480446927374</v>
      </c>
      <c r="S16">
        <v>2.9733333333333332</v>
      </c>
      <c r="T16">
        <v>15</v>
      </c>
      <c r="U16">
        <v>0</v>
      </c>
      <c r="V16">
        <v>0</v>
      </c>
      <c r="W16">
        <v>0</v>
      </c>
      <c r="X16">
        <v>1</v>
      </c>
      <c r="Y16">
        <v>2</v>
      </c>
      <c r="Z16">
        <v>0</v>
      </c>
      <c r="AA16" t="s">
        <v>115</v>
      </c>
      <c r="AB16" t="s">
        <v>170</v>
      </c>
      <c r="AC16" s="2">
        <v>1</v>
      </c>
      <c r="AD16" t="s">
        <v>212</v>
      </c>
      <c r="AE16" s="2">
        <v>0</v>
      </c>
      <c r="AF16">
        <v>1</v>
      </c>
      <c r="AG16">
        <v>1585</v>
      </c>
      <c r="AH16">
        <v>2504.3000000000002</v>
      </c>
      <c r="AI16">
        <v>20</v>
      </c>
    </row>
    <row r="17" spans="1:35" x14ac:dyDescent="0.35">
      <c r="A17" t="s">
        <v>53</v>
      </c>
      <c r="B17" t="s">
        <v>95</v>
      </c>
      <c r="C17">
        <v>14</v>
      </c>
      <c r="D17">
        <v>6</v>
      </c>
      <c r="F17">
        <v>7</v>
      </c>
      <c r="G17">
        <v>16</v>
      </c>
      <c r="H17">
        <v>130</v>
      </c>
      <c r="I17">
        <v>38</v>
      </c>
      <c r="K17">
        <v>298</v>
      </c>
      <c r="L17">
        <v>83</v>
      </c>
      <c r="M17">
        <v>128</v>
      </c>
      <c r="O17">
        <v>10</v>
      </c>
      <c r="P17" t="e">
        <f ca="1">_xludf.VAR.P(C17, D17, F17, G17)</f>
        <v>#NAME?</v>
      </c>
      <c r="Q17" s="1">
        <v>0.64214046822742477</v>
      </c>
      <c r="R17">
        <v>2.2923076923076922</v>
      </c>
      <c r="S17">
        <v>2.1842105263157889</v>
      </c>
      <c r="T17">
        <v>17</v>
      </c>
      <c r="U17">
        <v>0</v>
      </c>
      <c r="V17">
        <v>3</v>
      </c>
      <c r="W17">
        <v>2</v>
      </c>
      <c r="X17">
        <v>1</v>
      </c>
      <c r="Y17">
        <v>0</v>
      </c>
      <c r="Z17">
        <v>0</v>
      </c>
      <c r="AA17" t="s">
        <v>117</v>
      </c>
      <c r="AB17" t="s">
        <v>177</v>
      </c>
      <c r="AC17" s="2">
        <v>0.98699999999999999</v>
      </c>
      <c r="AD17" t="s">
        <v>214</v>
      </c>
      <c r="AE17" s="2">
        <v>1.2E-2</v>
      </c>
      <c r="AF17">
        <v>2</v>
      </c>
      <c r="AG17">
        <v>1575</v>
      </c>
      <c r="AH17">
        <v>2488.5</v>
      </c>
      <c r="AI17">
        <v>38</v>
      </c>
    </row>
    <row r="18" spans="1:35" x14ac:dyDescent="0.35">
      <c r="A18" t="s">
        <v>55</v>
      </c>
      <c r="B18" t="s">
        <v>95</v>
      </c>
      <c r="C18">
        <v>23</v>
      </c>
      <c r="D18">
        <v>9</v>
      </c>
      <c r="F18">
        <v>9</v>
      </c>
      <c r="G18">
        <v>20</v>
      </c>
      <c r="H18">
        <v>125</v>
      </c>
      <c r="I18">
        <v>84</v>
      </c>
      <c r="K18">
        <v>202</v>
      </c>
      <c r="L18">
        <v>125</v>
      </c>
      <c r="M18">
        <v>127</v>
      </c>
      <c r="O18">
        <v>11</v>
      </c>
      <c r="P18" t="e">
        <f ca="1">_xludf.VAR.P(C18, D18, F18, G18)</f>
        <v>#NAME?</v>
      </c>
      <c r="Q18" s="1">
        <v>0.63861386138613863</v>
      </c>
      <c r="R18">
        <v>1.6160000000000001</v>
      </c>
      <c r="S18">
        <v>1.4880952380952379</v>
      </c>
      <c r="T18">
        <v>13</v>
      </c>
      <c r="U18">
        <v>11</v>
      </c>
      <c r="V18">
        <v>0</v>
      </c>
      <c r="W18">
        <v>0</v>
      </c>
      <c r="X18">
        <v>5</v>
      </c>
      <c r="Y18">
        <v>0</v>
      </c>
      <c r="Z18">
        <v>0</v>
      </c>
      <c r="AA18" t="s">
        <v>119</v>
      </c>
      <c r="AB18" t="s">
        <v>179</v>
      </c>
      <c r="AC18" s="2">
        <v>0.98499999999999999</v>
      </c>
      <c r="AD18" t="s">
        <v>206</v>
      </c>
      <c r="AE18" s="2">
        <v>1.4E-2</v>
      </c>
      <c r="AF18">
        <v>2</v>
      </c>
      <c r="AG18">
        <v>1525</v>
      </c>
      <c r="AH18">
        <v>2409.5</v>
      </c>
      <c r="AI18">
        <v>15</v>
      </c>
    </row>
    <row r="19" spans="1:35" x14ac:dyDescent="0.35">
      <c r="A19" t="s">
        <v>70</v>
      </c>
      <c r="B19" t="s">
        <v>95</v>
      </c>
      <c r="C19">
        <v>28</v>
      </c>
      <c r="D19">
        <v>5</v>
      </c>
      <c r="F19">
        <v>11</v>
      </c>
      <c r="G19">
        <v>22</v>
      </c>
      <c r="H19">
        <v>489</v>
      </c>
      <c r="I19">
        <v>246</v>
      </c>
      <c r="K19">
        <v>3122</v>
      </c>
      <c r="L19">
        <v>877</v>
      </c>
      <c r="M19">
        <v>591</v>
      </c>
      <c r="O19">
        <v>14</v>
      </c>
      <c r="P19" t="e">
        <f ca="1">_xludf.VAR.P(C19, D19, F19, G19)</f>
        <v>#NAME?</v>
      </c>
      <c r="Q19" s="1">
        <v>0.66517428845538851</v>
      </c>
      <c r="R19">
        <v>6.3844580777096116</v>
      </c>
      <c r="S19">
        <v>3.565040650406504</v>
      </c>
      <c r="T19">
        <v>4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 t="s">
        <v>134</v>
      </c>
      <c r="AB19" t="s">
        <v>192</v>
      </c>
      <c r="AC19" s="2">
        <v>0.81299999999999994</v>
      </c>
      <c r="AD19" t="s">
        <v>211</v>
      </c>
      <c r="AE19" s="2">
        <v>7.8E-2</v>
      </c>
      <c r="AF19">
        <v>10</v>
      </c>
      <c r="AG19">
        <v>1525</v>
      </c>
      <c r="AH19">
        <v>2409.5</v>
      </c>
      <c r="AI19">
        <v>54</v>
      </c>
    </row>
    <row r="20" spans="1:35" x14ac:dyDescent="0.35">
      <c r="A20" t="s">
        <v>81</v>
      </c>
      <c r="B20" t="s">
        <v>95</v>
      </c>
      <c r="C20">
        <v>15</v>
      </c>
      <c r="D20">
        <v>8</v>
      </c>
      <c r="F20">
        <v>7</v>
      </c>
      <c r="G20">
        <v>16</v>
      </c>
      <c r="H20">
        <v>143</v>
      </c>
      <c r="I20">
        <v>65</v>
      </c>
      <c r="K20">
        <v>229</v>
      </c>
      <c r="L20">
        <v>85</v>
      </c>
      <c r="M20">
        <v>176</v>
      </c>
      <c r="O20">
        <v>17</v>
      </c>
      <c r="P20" t="e">
        <f ca="1">_xludf.VAR.P(C20, D20, F20, G20)</f>
        <v>#NAME?</v>
      </c>
      <c r="Q20" s="1">
        <v>0.55021834061135366</v>
      </c>
      <c r="R20">
        <v>1.601398601398601</v>
      </c>
      <c r="S20">
        <v>1.3076923076923079</v>
      </c>
      <c r="T20">
        <v>8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 t="s">
        <v>145</v>
      </c>
      <c r="AB20" t="s">
        <v>170</v>
      </c>
      <c r="AC20" s="2">
        <v>1</v>
      </c>
      <c r="AD20" t="s">
        <v>212</v>
      </c>
      <c r="AE20" s="2">
        <v>0</v>
      </c>
      <c r="AF20">
        <v>1</v>
      </c>
      <c r="AG20">
        <v>1425</v>
      </c>
      <c r="AH20">
        <v>2251.5</v>
      </c>
      <c r="AI20">
        <v>34</v>
      </c>
    </row>
    <row r="21" spans="1:35" x14ac:dyDescent="0.35">
      <c r="A21" t="s">
        <v>43</v>
      </c>
      <c r="B21" t="s">
        <v>95</v>
      </c>
      <c r="C21">
        <v>29</v>
      </c>
      <c r="D21">
        <v>5</v>
      </c>
      <c r="F21">
        <v>17</v>
      </c>
      <c r="G21">
        <v>16</v>
      </c>
      <c r="H21">
        <v>103</v>
      </c>
      <c r="I21">
        <v>70</v>
      </c>
      <c r="K21">
        <v>6215</v>
      </c>
      <c r="L21">
        <v>1123</v>
      </c>
      <c r="M21">
        <v>129</v>
      </c>
      <c r="O21">
        <v>6</v>
      </c>
      <c r="P21" t="e">
        <f ca="1">_xludf.VAR.P(C21, D21, F21, G21)</f>
        <v>#NAME?</v>
      </c>
      <c r="Q21" s="1">
        <v>0.95477225173024305</v>
      </c>
      <c r="R21">
        <v>60.339805825242721</v>
      </c>
      <c r="S21">
        <v>16.042857142857141</v>
      </c>
      <c r="T21">
        <v>14</v>
      </c>
      <c r="U21">
        <v>0</v>
      </c>
      <c r="V21">
        <v>0</v>
      </c>
      <c r="W21">
        <v>0</v>
      </c>
      <c r="X21">
        <v>167</v>
      </c>
      <c r="Y21">
        <v>0</v>
      </c>
      <c r="Z21">
        <v>0</v>
      </c>
      <c r="AA21" t="s">
        <v>107</v>
      </c>
      <c r="AB21" t="s">
        <v>170</v>
      </c>
      <c r="AC21" s="2">
        <v>1</v>
      </c>
      <c r="AD21" t="s">
        <v>212</v>
      </c>
      <c r="AE21" s="2">
        <v>0</v>
      </c>
      <c r="AF21">
        <v>1</v>
      </c>
      <c r="AG21">
        <v>1325</v>
      </c>
      <c r="AH21">
        <v>2093.5</v>
      </c>
      <c r="AI21">
        <v>42</v>
      </c>
    </row>
    <row r="22" spans="1:35" x14ac:dyDescent="0.35">
      <c r="A22" t="s">
        <v>45</v>
      </c>
      <c r="B22" t="s">
        <v>95</v>
      </c>
      <c r="C22">
        <v>34</v>
      </c>
      <c r="D22">
        <v>10</v>
      </c>
      <c r="F22">
        <v>25</v>
      </c>
      <c r="G22">
        <v>17</v>
      </c>
      <c r="H22">
        <v>118</v>
      </c>
      <c r="I22">
        <v>67</v>
      </c>
      <c r="K22">
        <v>224</v>
      </c>
      <c r="L22">
        <v>140</v>
      </c>
      <c r="M22">
        <v>125</v>
      </c>
      <c r="O22">
        <v>7</v>
      </c>
      <c r="P22" t="e">
        <f ca="1">_xludf.VAR.P(C22, D22, F22, G22)</f>
        <v>#NAME?</v>
      </c>
      <c r="Q22" s="1">
        <v>0.8973214285714286</v>
      </c>
      <c r="R22">
        <v>1.898305084745763</v>
      </c>
      <c r="S22">
        <v>2.08955223880597</v>
      </c>
      <c r="T22">
        <v>13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 t="s">
        <v>109</v>
      </c>
      <c r="AB22" t="s">
        <v>170</v>
      </c>
      <c r="AC22" s="2">
        <v>1</v>
      </c>
      <c r="AD22" t="s">
        <v>212</v>
      </c>
      <c r="AE22" s="2">
        <v>0</v>
      </c>
      <c r="AF22">
        <v>1</v>
      </c>
      <c r="AG22">
        <v>1225</v>
      </c>
      <c r="AH22">
        <v>1935.5</v>
      </c>
      <c r="AI22">
        <v>26</v>
      </c>
    </row>
    <row r="23" spans="1:35" x14ac:dyDescent="0.35">
      <c r="A23" t="s">
        <v>54</v>
      </c>
      <c r="B23" t="s">
        <v>95</v>
      </c>
      <c r="C23">
        <v>35</v>
      </c>
      <c r="D23">
        <v>5</v>
      </c>
      <c r="F23">
        <v>18</v>
      </c>
      <c r="G23">
        <v>18</v>
      </c>
      <c r="H23">
        <v>193</v>
      </c>
      <c r="I23">
        <v>97</v>
      </c>
      <c r="K23">
        <v>5631</v>
      </c>
      <c r="L23">
        <v>4464</v>
      </c>
      <c r="M23">
        <v>245</v>
      </c>
      <c r="O23">
        <v>10</v>
      </c>
      <c r="P23" t="e">
        <f ca="1">_xludf.VAR.P(C23, D23, F23, G23)</f>
        <v>#NAME?</v>
      </c>
      <c r="Q23" s="1">
        <v>0.9856153436334576</v>
      </c>
      <c r="R23">
        <v>29.176165803108809</v>
      </c>
      <c r="S23">
        <v>46.020618556701031</v>
      </c>
      <c r="T23">
        <v>15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A23" t="s">
        <v>118</v>
      </c>
      <c r="AB23" t="s">
        <v>178</v>
      </c>
      <c r="AC23" s="2">
        <v>0.998</v>
      </c>
      <c r="AD23" t="s">
        <v>212</v>
      </c>
      <c r="AE23" s="2">
        <v>0</v>
      </c>
      <c r="AF23">
        <v>1</v>
      </c>
      <c r="AG23">
        <v>1101</v>
      </c>
      <c r="AH23">
        <v>1739.58</v>
      </c>
      <c r="AI23">
        <v>30</v>
      </c>
    </row>
    <row r="24" spans="1:35" x14ac:dyDescent="0.35">
      <c r="A24" t="s">
        <v>73</v>
      </c>
      <c r="B24" t="s">
        <v>95</v>
      </c>
      <c r="C24">
        <v>35</v>
      </c>
      <c r="D24">
        <v>23</v>
      </c>
      <c r="F24">
        <v>9</v>
      </c>
      <c r="G24">
        <v>19</v>
      </c>
      <c r="H24">
        <v>238</v>
      </c>
      <c r="I24">
        <v>90</v>
      </c>
      <c r="K24">
        <v>653</v>
      </c>
      <c r="L24">
        <v>267</v>
      </c>
      <c r="M24">
        <v>250</v>
      </c>
      <c r="O24">
        <v>14</v>
      </c>
      <c r="P24" t="e">
        <f ca="1">_xludf.VAR.P(C24, D24, F24, G24)</f>
        <v>#NAME?</v>
      </c>
      <c r="Q24" s="1">
        <v>0.83435582822085885</v>
      </c>
      <c r="R24">
        <v>2.7436974789915971</v>
      </c>
      <c r="S24">
        <v>2.9666666666666668</v>
      </c>
      <c r="T24">
        <v>5</v>
      </c>
      <c r="U24">
        <v>7</v>
      </c>
      <c r="V24">
        <v>3</v>
      </c>
      <c r="W24">
        <v>3</v>
      </c>
      <c r="X24">
        <v>3</v>
      </c>
      <c r="Y24">
        <v>1</v>
      </c>
      <c r="Z24">
        <v>0</v>
      </c>
      <c r="AA24" t="s">
        <v>137</v>
      </c>
      <c r="AB24" t="s">
        <v>194</v>
      </c>
      <c r="AC24" s="2">
        <v>0.87</v>
      </c>
      <c r="AD24" t="s">
        <v>217</v>
      </c>
      <c r="AE24" s="2">
        <v>4.7E-2</v>
      </c>
      <c r="AF24">
        <v>9</v>
      </c>
      <c r="AG24">
        <v>799</v>
      </c>
      <c r="AH24">
        <v>1262.42</v>
      </c>
      <c r="AI24">
        <v>24</v>
      </c>
    </row>
    <row r="25" spans="1:35" x14ac:dyDescent="0.35">
      <c r="A25" t="s">
        <v>76</v>
      </c>
      <c r="B25" t="s">
        <v>95</v>
      </c>
      <c r="C25">
        <v>30</v>
      </c>
      <c r="D25">
        <v>5</v>
      </c>
      <c r="F25">
        <v>6</v>
      </c>
      <c r="G25">
        <v>15</v>
      </c>
      <c r="H25">
        <v>143</v>
      </c>
      <c r="I25">
        <v>44</v>
      </c>
      <c r="K25">
        <v>1389</v>
      </c>
      <c r="L25">
        <v>199</v>
      </c>
      <c r="M25">
        <v>131</v>
      </c>
      <c r="O25">
        <v>15</v>
      </c>
      <c r="P25" t="e">
        <f ca="1">_xludf.VAR.P(C25, D25, F25, G25)</f>
        <v>#NAME?</v>
      </c>
      <c r="Q25" s="1">
        <v>0.97624190064794814</v>
      </c>
      <c r="R25">
        <v>9.7132867132867133</v>
      </c>
      <c r="S25">
        <v>4.5227272727272716</v>
      </c>
      <c r="T25">
        <v>21</v>
      </c>
      <c r="U25">
        <v>1</v>
      </c>
      <c r="V25">
        <v>0</v>
      </c>
      <c r="W25">
        <v>0</v>
      </c>
      <c r="X25">
        <v>43</v>
      </c>
      <c r="Y25">
        <v>1</v>
      </c>
      <c r="Z25">
        <v>0</v>
      </c>
      <c r="AA25" t="s">
        <v>140</v>
      </c>
      <c r="AB25" t="s">
        <v>196</v>
      </c>
      <c r="AC25" s="2">
        <v>0.82900000000000007</v>
      </c>
      <c r="AD25" t="s">
        <v>206</v>
      </c>
      <c r="AE25" s="2">
        <v>7.0999999999999994E-2</v>
      </c>
      <c r="AF25">
        <v>7</v>
      </c>
      <c r="AG25">
        <v>710</v>
      </c>
      <c r="AH25">
        <v>1121.8</v>
      </c>
      <c r="AI25">
        <v>29</v>
      </c>
    </row>
    <row r="26" spans="1:35" x14ac:dyDescent="0.35">
      <c r="A26" t="s">
        <v>58</v>
      </c>
      <c r="B26" t="s">
        <v>95</v>
      </c>
      <c r="C26">
        <v>22</v>
      </c>
      <c r="D26">
        <v>5</v>
      </c>
      <c r="F26">
        <v>11</v>
      </c>
      <c r="G26">
        <v>16</v>
      </c>
      <c r="H26">
        <v>156</v>
      </c>
      <c r="I26">
        <v>53</v>
      </c>
      <c r="K26">
        <v>442</v>
      </c>
      <c r="L26">
        <v>103</v>
      </c>
      <c r="M26">
        <v>164</v>
      </c>
      <c r="O26">
        <v>11</v>
      </c>
      <c r="P26" t="e">
        <f ca="1">_xludf.VAR.P(C26, D26, F26, G26)</f>
        <v>#NAME?</v>
      </c>
      <c r="Q26" s="1">
        <v>0.77375565610859731</v>
      </c>
      <c r="R26">
        <v>2.833333333333333</v>
      </c>
      <c r="S26">
        <v>1.9433962264150939</v>
      </c>
      <c r="T26">
        <v>6</v>
      </c>
      <c r="U26">
        <v>0</v>
      </c>
      <c r="V26">
        <v>1</v>
      </c>
      <c r="W26">
        <v>1</v>
      </c>
      <c r="X26">
        <v>0</v>
      </c>
      <c r="Y26">
        <v>1</v>
      </c>
      <c r="Z26">
        <v>0</v>
      </c>
      <c r="AA26" t="s">
        <v>122</v>
      </c>
      <c r="AB26" t="s">
        <v>182</v>
      </c>
      <c r="AC26" s="2">
        <v>0.95200000000000007</v>
      </c>
      <c r="AD26" t="s">
        <v>206</v>
      </c>
      <c r="AE26" s="2">
        <v>2.3E-2</v>
      </c>
      <c r="AF26">
        <v>4</v>
      </c>
      <c r="AG26">
        <v>710</v>
      </c>
      <c r="AH26">
        <v>1121.8</v>
      </c>
      <c r="AI26">
        <v>10</v>
      </c>
    </row>
    <row r="27" spans="1:35" x14ac:dyDescent="0.35">
      <c r="A27" t="s">
        <v>38</v>
      </c>
      <c r="B27" t="s">
        <v>95</v>
      </c>
      <c r="C27">
        <v>37</v>
      </c>
      <c r="D27">
        <v>5</v>
      </c>
      <c r="F27">
        <v>16</v>
      </c>
      <c r="G27">
        <v>19</v>
      </c>
      <c r="H27">
        <v>343</v>
      </c>
      <c r="I27">
        <v>160</v>
      </c>
      <c r="K27">
        <v>2392</v>
      </c>
      <c r="L27">
        <v>452</v>
      </c>
      <c r="M27">
        <v>350</v>
      </c>
      <c r="O27">
        <v>4</v>
      </c>
      <c r="P27" t="e">
        <f ca="1">_xludf.VAR.P(C27, D27, F27, G27)</f>
        <v>#NAME?</v>
      </c>
      <c r="Q27" s="1">
        <v>0.46716854872438313</v>
      </c>
      <c r="R27">
        <v>6.9737609329446064</v>
      </c>
      <c r="S27">
        <v>2.8250000000000002</v>
      </c>
      <c r="T27">
        <v>26</v>
      </c>
      <c r="U27">
        <v>0</v>
      </c>
      <c r="V27">
        <v>4</v>
      </c>
      <c r="W27">
        <v>1</v>
      </c>
      <c r="X27">
        <v>1</v>
      </c>
      <c r="Y27">
        <v>0</v>
      </c>
      <c r="Z27">
        <v>2</v>
      </c>
      <c r="AA27" t="s">
        <v>102</v>
      </c>
      <c r="AB27" t="s">
        <v>165</v>
      </c>
      <c r="AC27" s="2">
        <v>0.71499999999999997</v>
      </c>
      <c r="AD27" t="s">
        <v>210</v>
      </c>
      <c r="AE27" s="2">
        <v>6.0999999999999999E-2</v>
      </c>
      <c r="AF27">
        <v>10</v>
      </c>
      <c r="AG27">
        <v>612</v>
      </c>
      <c r="AH27">
        <v>966.96</v>
      </c>
      <c r="AI27">
        <v>32</v>
      </c>
    </row>
    <row r="28" spans="1:35" x14ac:dyDescent="0.35">
      <c r="A28" t="s">
        <v>49</v>
      </c>
      <c r="B28" t="s">
        <v>95</v>
      </c>
      <c r="C28">
        <v>25</v>
      </c>
      <c r="D28">
        <v>13</v>
      </c>
      <c r="F28">
        <v>9</v>
      </c>
      <c r="G28">
        <v>18</v>
      </c>
      <c r="H28">
        <v>164</v>
      </c>
      <c r="I28">
        <v>86</v>
      </c>
      <c r="K28">
        <v>11773</v>
      </c>
      <c r="L28">
        <v>1200</v>
      </c>
      <c r="M28">
        <v>167</v>
      </c>
      <c r="O28">
        <v>9</v>
      </c>
      <c r="P28" t="e">
        <f ca="1">_xludf.VAR.P(C28, D28, F28, G28)</f>
        <v>#NAME?</v>
      </c>
      <c r="Q28" s="1">
        <v>0.97459211420802172</v>
      </c>
      <c r="R28">
        <v>71.786585365853654</v>
      </c>
      <c r="S28">
        <v>13.95348837209302</v>
      </c>
      <c r="T28">
        <v>16</v>
      </c>
      <c r="U28">
        <v>0</v>
      </c>
      <c r="V28">
        <v>0</v>
      </c>
      <c r="W28">
        <v>0</v>
      </c>
      <c r="X28">
        <v>1</v>
      </c>
      <c r="Y28">
        <v>2</v>
      </c>
      <c r="Z28">
        <v>0</v>
      </c>
      <c r="AA28" t="s">
        <v>113</v>
      </c>
      <c r="AB28" t="s">
        <v>174</v>
      </c>
      <c r="AC28" s="2">
        <v>0.9840000000000001</v>
      </c>
      <c r="AD28" t="s">
        <v>208</v>
      </c>
      <c r="AE28" s="2">
        <v>6.9999999999999993E-3</v>
      </c>
      <c r="AF28">
        <v>5</v>
      </c>
      <c r="AG28">
        <v>610</v>
      </c>
      <c r="AH28">
        <v>963.8</v>
      </c>
      <c r="AI28">
        <v>27</v>
      </c>
    </row>
    <row r="29" spans="1:35" x14ac:dyDescent="0.35">
      <c r="A29" t="s">
        <v>71</v>
      </c>
      <c r="B29" t="s">
        <v>95</v>
      </c>
      <c r="C29">
        <v>12</v>
      </c>
      <c r="D29">
        <v>15</v>
      </c>
      <c r="F29">
        <v>8</v>
      </c>
      <c r="G29">
        <v>16</v>
      </c>
      <c r="H29">
        <v>297</v>
      </c>
      <c r="I29">
        <v>67</v>
      </c>
      <c r="K29">
        <v>484</v>
      </c>
      <c r="L29">
        <v>84</v>
      </c>
      <c r="M29">
        <v>113</v>
      </c>
      <c r="O29">
        <v>14</v>
      </c>
      <c r="P29" t="e">
        <f ca="1">_xludf.VAR.P(C29, D29, F29, G29)</f>
        <v>#NAME?</v>
      </c>
      <c r="Q29" s="1">
        <v>0.85950413223140498</v>
      </c>
      <c r="R29">
        <v>1.62962962962963</v>
      </c>
      <c r="S29">
        <v>1.2537313432835819</v>
      </c>
      <c r="T29">
        <v>8</v>
      </c>
      <c r="U29">
        <v>2</v>
      </c>
      <c r="V29">
        <v>3</v>
      </c>
      <c r="W29">
        <v>3</v>
      </c>
      <c r="X29">
        <v>2</v>
      </c>
      <c r="Y29">
        <v>0</v>
      </c>
      <c r="Z29">
        <v>0</v>
      </c>
      <c r="AA29" t="s">
        <v>135</v>
      </c>
      <c r="AB29" t="s">
        <v>170</v>
      </c>
      <c r="AC29" s="2">
        <v>1</v>
      </c>
      <c r="AD29" t="s">
        <v>212</v>
      </c>
      <c r="AE29" s="2">
        <v>0</v>
      </c>
      <c r="AF29">
        <v>1</v>
      </c>
      <c r="AG29">
        <v>598</v>
      </c>
      <c r="AH29">
        <v>944.84</v>
      </c>
      <c r="AI29">
        <v>20</v>
      </c>
    </row>
    <row r="30" spans="1:35" x14ac:dyDescent="0.35">
      <c r="A30" t="s">
        <v>37</v>
      </c>
      <c r="B30" t="s">
        <v>95</v>
      </c>
      <c r="C30">
        <v>35</v>
      </c>
      <c r="D30">
        <v>5</v>
      </c>
      <c r="F30">
        <v>27</v>
      </c>
      <c r="G30">
        <v>18</v>
      </c>
      <c r="H30">
        <v>263</v>
      </c>
      <c r="I30">
        <v>129</v>
      </c>
      <c r="K30">
        <v>2120</v>
      </c>
      <c r="L30">
        <v>755</v>
      </c>
      <c r="M30">
        <v>280</v>
      </c>
      <c r="O30">
        <v>4</v>
      </c>
      <c r="P30" t="e">
        <f ca="1">_xludf.VAR.P(C30, D30, F30, G30)</f>
        <v>#NAME?</v>
      </c>
      <c r="Q30" s="1">
        <v>0.24069712670748941</v>
      </c>
      <c r="R30">
        <v>8.0608365019011412</v>
      </c>
      <c r="S30">
        <v>5.8527131782945734</v>
      </c>
      <c r="T30">
        <v>12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t="s">
        <v>101</v>
      </c>
      <c r="AB30" t="s">
        <v>164</v>
      </c>
      <c r="AC30" s="2">
        <v>7.5999999999999998E-2</v>
      </c>
      <c r="AD30" t="s">
        <v>209</v>
      </c>
      <c r="AE30" s="2">
        <v>0.90099999999999991</v>
      </c>
      <c r="AF30">
        <v>4</v>
      </c>
      <c r="AG30">
        <v>533</v>
      </c>
      <c r="AH30">
        <v>842.14</v>
      </c>
      <c r="AI30">
        <v>13</v>
      </c>
    </row>
    <row r="31" spans="1:35" x14ac:dyDescent="0.35">
      <c r="A31" t="s">
        <v>87</v>
      </c>
      <c r="B31" t="s">
        <v>95</v>
      </c>
      <c r="C31">
        <v>9</v>
      </c>
      <c r="D31">
        <v>21</v>
      </c>
      <c r="F31">
        <v>8</v>
      </c>
      <c r="G31">
        <v>17</v>
      </c>
      <c r="H31">
        <v>57</v>
      </c>
      <c r="I31">
        <v>27</v>
      </c>
      <c r="K31">
        <v>146</v>
      </c>
      <c r="L31">
        <v>61</v>
      </c>
      <c r="M31">
        <v>84</v>
      </c>
      <c r="O31">
        <v>21</v>
      </c>
      <c r="P31" t="e">
        <f ca="1">_xludf.VAR.P(C31, D31, F31, G31)</f>
        <v>#NAME?</v>
      </c>
      <c r="Q31" s="1">
        <v>0.56164383561643838</v>
      </c>
      <c r="R31">
        <v>2.5614035087719298</v>
      </c>
      <c r="S31">
        <v>2.2592592592592591</v>
      </c>
      <c r="T31">
        <v>15</v>
      </c>
      <c r="U31">
        <v>37</v>
      </c>
      <c r="V31">
        <v>2</v>
      </c>
      <c r="W31">
        <v>1</v>
      </c>
      <c r="X31">
        <v>539</v>
      </c>
      <c r="Y31">
        <v>0</v>
      </c>
      <c r="Z31">
        <v>0</v>
      </c>
      <c r="AA31" t="s">
        <v>151</v>
      </c>
      <c r="AB31" t="s">
        <v>170</v>
      </c>
      <c r="AC31" s="2">
        <v>1</v>
      </c>
      <c r="AD31" t="s">
        <v>212</v>
      </c>
      <c r="AE31" s="2">
        <v>0</v>
      </c>
      <c r="AF31">
        <v>1</v>
      </c>
      <c r="AG31">
        <v>485</v>
      </c>
      <c r="AH31">
        <v>766.3</v>
      </c>
      <c r="AI31">
        <v>63</v>
      </c>
    </row>
    <row r="32" spans="1:35" x14ac:dyDescent="0.35">
      <c r="A32" t="s">
        <v>80</v>
      </c>
      <c r="B32" t="s">
        <v>95</v>
      </c>
      <c r="C32">
        <v>27</v>
      </c>
      <c r="D32">
        <v>5</v>
      </c>
      <c r="F32">
        <v>7</v>
      </c>
      <c r="G32">
        <v>15</v>
      </c>
      <c r="H32">
        <v>111</v>
      </c>
      <c r="I32">
        <v>36</v>
      </c>
      <c r="K32">
        <v>420</v>
      </c>
      <c r="L32">
        <v>396</v>
      </c>
      <c r="M32">
        <v>136</v>
      </c>
      <c r="O32">
        <v>17</v>
      </c>
      <c r="P32" t="e">
        <f ca="1">_xludf.VAR.P(C32, D32, F32, G32)</f>
        <v>#NAME?</v>
      </c>
      <c r="Q32" s="1">
        <v>0.50239234449760761</v>
      </c>
      <c r="R32">
        <v>3.7837837837837842</v>
      </c>
      <c r="S32">
        <v>11</v>
      </c>
      <c r="T32">
        <v>23</v>
      </c>
      <c r="U32">
        <v>0</v>
      </c>
      <c r="V32">
        <v>1</v>
      </c>
      <c r="W32">
        <v>1</v>
      </c>
      <c r="X32">
        <v>2</v>
      </c>
      <c r="Y32">
        <v>3</v>
      </c>
      <c r="Z32">
        <v>0</v>
      </c>
      <c r="AA32" t="s">
        <v>144</v>
      </c>
      <c r="AB32" t="s">
        <v>198</v>
      </c>
      <c r="AC32" s="2">
        <v>0.97599999999999998</v>
      </c>
      <c r="AD32" t="s">
        <v>208</v>
      </c>
      <c r="AE32" s="2">
        <v>6.9999999999999993E-3</v>
      </c>
      <c r="AF32">
        <v>5</v>
      </c>
      <c r="AG32">
        <v>455</v>
      </c>
      <c r="AH32">
        <v>718.9</v>
      </c>
      <c r="AI32">
        <v>13</v>
      </c>
    </row>
    <row r="33" spans="1:35" x14ac:dyDescent="0.35">
      <c r="A33" t="s">
        <v>75</v>
      </c>
      <c r="B33" t="s">
        <v>95</v>
      </c>
      <c r="C33">
        <v>27</v>
      </c>
      <c r="D33">
        <v>5</v>
      </c>
      <c r="F33">
        <v>8</v>
      </c>
      <c r="G33">
        <v>16</v>
      </c>
      <c r="H33">
        <v>115</v>
      </c>
      <c r="I33">
        <v>82</v>
      </c>
      <c r="K33">
        <v>2175</v>
      </c>
      <c r="L33">
        <v>399</v>
      </c>
      <c r="M33">
        <v>133</v>
      </c>
      <c r="O33">
        <v>15</v>
      </c>
      <c r="P33" t="e">
        <f ca="1">_xludf.VAR.P(C33, D33, F33, G33)</f>
        <v>#NAME?</v>
      </c>
      <c r="Q33" s="1">
        <v>0.98805695911805236</v>
      </c>
      <c r="R33">
        <v>18.913043478260871</v>
      </c>
      <c r="S33">
        <v>4.8658536585365857</v>
      </c>
      <c r="T33">
        <v>14</v>
      </c>
      <c r="U33">
        <v>0</v>
      </c>
      <c r="V33">
        <v>0</v>
      </c>
      <c r="W33">
        <v>0</v>
      </c>
      <c r="X33">
        <v>3</v>
      </c>
      <c r="Y33">
        <v>0</v>
      </c>
      <c r="Z33">
        <v>0</v>
      </c>
      <c r="AA33" t="s">
        <v>139</v>
      </c>
      <c r="AB33" t="s">
        <v>195</v>
      </c>
      <c r="AC33" s="2">
        <v>0.97</v>
      </c>
      <c r="AD33" t="s">
        <v>217</v>
      </c>
      <c r="AE33" s="2">
        <v>2.5999999999999999E-2</v>
      </c>
      <c r="AF33">
        <v>3</v>
      </c>
      <c r="AG33">
        <v>435</v>
      </c>
      <c r="AH33">
        <v>687.3</v>
      </c>
      <c r="AI33">
        <v>17</v>
      </c>
    </row>
    <row r="34" spans="1:35" s="6" customFormat="1" x14ac:dyDescent="0.35">
      <c r="A34" t="s">
        <v>78</v>
      </c>
      <c r="B34" t="s">
        <v>95</v>
      </c>
      <c r="C34">
        <v>23</v>
      </c>
      <c r="D34">
        <v>6</v>
      </c>
      <c r="E34"/>
      <c r="F34">
        <v>5</v>
      </c>
      <c r="G34">
        <v>20</v>
      </c>
      <c r="H34">
        <v>372</v>
      </c>
      <c r="I34">
        <v>84</v>
      </c>
      <c r="J34"/>
      <c r="K34">
        <v>1126</v>
      </c>
      <c r="L34">
        <v>350</v>
      </c>
      <c r="M34">
        <v>152</v>
      </c>
      <c r="N34"/>
      <c r="O34">
        <v>16</v>
      </c>
      <c r="P34" t="e">
        <f ca="1">_xludf.VAR.P(C34, D34, F34, G34)</f>
        <v>#NAME?</v>
      </c>
      <c r="Q34" s="1">
        <v>0.66133333333333333</v>
      </c>
      <c r="R34">
        <v>3.0268817204301079</v>
      </c>
      <c r="S34">
        <v>4.166666666666667</v>
      </c>
      <c r="T34">
        <v>9</v>
      </c>
      <c r="U34">
        <v>0</v>
      </c>
      <c r="V34">
        <v>1</v>
      </c>
      <c r="W34">
        <v>1</v>
      </c>
      <c r="X34">
        <v>1</v>
      </c>
      <c r="Y34">
        <v>0</v>
      </c>
      <c r="Z34">
        <v>0</v>
      </c>
      <c r="AA34" t="s">
        <v>142</v>
      </c>
      <c r="AB34" t="s">
        <v>197</v>
      </c>
      <c r="AC34" s="2">
        <v>0.27400000000000002</v>
      </c>
      <c r="AD34" t="s">
        <v>220</v>
      </c>
      <c r="AE34" s="2">
        <v>0.245</v>
      </c>
      <c r="AF34">
        <v>10</v>
      </c>
      <c r="AG34">
        <v>435</v>
      </c>
      <c r="AH34">
        <v>687.3</v>
      </c>
      <c r="AI34">
        <v>9</v>
      </c>
    </row>
    <row r="35" spans="1:35" x14ac:dyDescent="0.35">
      <c r="A35" t="s">
        <v>77</v>
      </c>
      <c r="B35" t="s">
        <v>95</v>
      </c>
      <c r="C35">
        <v>19</v>
      </c>
      <c r="D35">
        <v>14</v>
      </c>
      <c r="F35">
        <v>15</v>
      </c>
      <c r="G35">
        <v>17</v>
      </c>
      <c r="H35">
        <v>137</v>
      </c>
      <c r="I35">
        <v>35</v>
      </c>
      <c r="K35">
        <v>2093</v>
      </c>
      <c r="L35">
        <v>143</v>
      </c>
      <c r="M35">
        <v>202</v>
      </c>
      <c r="O35">
        <v>16</v>
      </c>
      <c r="P35" t="e">
        <f ca="1">_xludf.VAR.P(C35, D35, F35, G35)</f>
        <v>#NAME?</v>
      </c>
      <c r="Q35" s="1">
        <v>0.28714763497372192</v>
      </c>
      <c r="R35">
        <v>15.277372262773721</v>
      </c>
      <c r="S35">
        <v>4.0857142857142854</v>
      </c>
      <c r="T35">
        <v>13</v>
      </c>
      <c r="U35">
        <v>22</v>
      </c>
      <c r="V35">
        <v>3</v>
      </c>
      <c r="W35">
        <v>3</v>
      </c>
      <c r="X35">
        <v>56</v>
      </c>
      <c r="Y35">
        <v>0</v>
      </c>
      <c r="Z35">
        <v>0</v>
      </c>
      <c r="AA35" t="s">
        <v>141</v>
      </c>
      <c r="AB35" t="s">
        <v>170</v>
      </c>
      <c r="AC35" s="2">
        <v>1</v>
      </c>
      <c r="AD35" t="s">
        <v>212</v>
      </c>
      <c r="AE35" s="2">
        <v>0</v>
      </c>
      <c r="AF35">
        <v>1</v>
      </c>
      <c r="AG35">
        <v>327</v>
      </c>
      <c r="AH35">
        <v>516.66</v>
      </c>
      <c r="AI35">
        <v>18</v>
      </c>
    </row>
    <row r="36" spans="1:35" x14ac:dyDescent="0.35">
      <c r="A36" t="s">
        <v>33</v>
      </c>
      <c r="B36" t="s">
        <v>95</v>
      </c>
      <c r="C36">
        <v>22</v>
      </c>
      <c r="D36">
        <v>5</v>
      </c>
      <c r="F36">
        <v>27</v>
      </c>
      <c r="G36">
        <v>25</v>
      </c>
      <c r="H36">
        <v>529</v>
      </c>
      <c r="I36">
        <v>91</v>
      </c>
      <c r="K36">
        <v>1648</v>
      </c>
      <c r="L36">
        <v>1404</v>
      </c>
      <c r="M36">
        <v>221</v>
      </c>
      <c r="O36">
        <v>3</v>
      </c>
      <c r="P36" t="e">
        <f ca="1">_xludf.VAR.P(C36, D36, F36, G36)</f>
        <v>#NAME?</v>
      </c>
      <c r="Q36" s="1">
        <v>0.24181818181818179</v>
      </c>
      <c r="R36">
        <v>3.1153119092627599</v>
      </c>
      <c r="S36">
        <v>15.428571428571431</v>
      </c>
      <c r="T36">
        <v>24</v>
      </c>
      <c r="U36">
        <v>1</v>
      </c>
      <c r="V36">
        <v>0</v>
      </c>
      <c r="W36">
        <v>0</v>
      </c>
      <c r="X36">
        <v>2</v>
      </c>
      <c r="Y36">
        <v>1</v>
      </c>
      <c r="Z36">
        <v>0</v>
      </c>
      <c r="AA36" t="s">
        <v>97</v>
      </c>
      <c r="AB36" t="s">
        <v>160</v>
      </c>
      <c r="AC36" s="2">
        <v>0.97400000000000009</v>
      </c>
      <c r="AD36" t="s">
        <v>206</v>
      </c>
      <c r="AE36" s="2">
        <v>1.4999999999999999E-2</v>
      </c>
      <c r="AF36">
        <v>5</v>
      </c>
      <c r="AG36">
        <v>305</v>
      </c>
      <c r="AH36">
        <v>481.9</v>
      </c>
      <c r="AI36">
        <v>9</v>
      </c>
    </row>
    <row r="37" spans="1:35" x14ac:dyDescent="0.35">
      <c r="A37" t="s">
        <v>85</v>
      </c>
      <c r="B37" t="s">
        <v>95</v>
      </c>
      <c r="C37">
        <v>27</v>
      </c>
      <c r="D37">
        <v>12</v>
      </c>
      <c r="F37">
        <v>8</v>
      </c>
      <c r="G37">
        <v>17</v>
      </c>
      <c r="H37">
        <v>128</v>
      </c>
      <c r="I37">
        <v>39</v>
      </c>
      <c r="K37">
        <v>699</v>
      </c>
      <c r="L37">
        <v>251</v>
      </c>
      <c r="M37">
        <v>160</v>
      </c>
      <c r="O37">
        <v>20</v>
      </c>
      <c r="P37" t="e">
        <f ca="1">_xludf.VAR.P(C37, D37, F37, G37)</f>
        <v>#NAME?</v>
      </c>
      <c r="Q37" s="1">
        <v>0.40486409155937048</v>
      </c>
      <c r="R37">
        <v>5.4609375</v>
      </c>
      <c r="S37">
        <v>6.4358974358974361</v>
      </c>
      <c r="T37">
        <v>10</v>
      </c>
      <c r="U37">
        <v>0</v>
      </c>
      <c r="V37">
        <v>0</v>
      </c>
      <c r="W37">
        <v>0</v>
      </c>
      <c r="X37">
        <v>463</v>
      </c>
      <c r="Y37">
        <v>1</v>
      </c>
      <c r="Z37">
        <v>0</v>
      </c>
      <c r="AA37" t="s">
        <v>149</v>
      </c>
      <c r="AB37" t="s">
        <v>199</v>
      </c>
      <c r="AC37" s="2">
        <v>0.99</v>
      </c>
      <c r="AD37" t="s">
        <v>208</v>
      </c>
      <c r="AE37" s="2">
        <v>4.0000000000000001E-3</v>
      </c>
      <c r="AF37">
        <v>3</v>
      </c>
      <c r="AG37">
        <v>305</v>
      </c>
      <c r="AH37">
        <v>481.9</v>
      </c>
      <c r="AI37">
        <v>13</v>
      </c>
    </row>
    <row r="38" spans="1:35" x14ac:dyDescent="0.35">
      <c r="A38" t="s">
        <v>34</v>
      </c>
      <c r="B38" t="s">
        <v>95</v>
      </c>
      <c r="C38">
        <v>20</v>
      </c>
      <c r="D38">
        <v>13</v>
      </c>
      <c r="F38">
        <v>26</v>
      </c>
      <c r="G38">
        <v>15</v>
      </c>
      <c r="H38">
        <v>111</v>
      </c>
      <c r="I38">
        <v>41</v>
      </c>
      <c r="K38">
        <v>285</v>
      </c>
      <c r="L38">
        <v>99</v>
      </c>
      <c r="M38">
        <v>129</v>
      </c>
      <c r="O38">
        <v>3</v>
      </c>
      <c r="P38" t="e">
        <f ca="1">_xludf.VAR.P(C38, D38, F38, G38)</f>
        <v>#NAME?</v>
      </c>
      <c r="Q38" s="1">
        <v>0.65614035087719302</v>
      </c>
      <c r="R38">
        <v>2.567567567567568</v>
      </c>
      <c r="S38">
        <v>2.4146341463414629</v>
      </c>
      <c r="T38">
        <v>24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 t="s">
        <v>98</v>
      </c>
      <c r="AB38" t="s">
        <v>161</v>
      </c>
      <c r="AC38" s="2">
        <v>0.83099999999999996</v>
      </c>
      <c r="AD38" t="s">
        <v>207</v>
      </c>
      <c r="AE38" s="2">
        <v>0.158</v>
      </c>
      <c r="AF38">
        <v>3</v>
      </c>
      <c r="AG38">
        <v>255</v>
      </c>
      <c r="AH38">
        <v>402.9</v>
      </c>
      <c r="AI38">
        <v>17</v>
      </c>
    </row>
    <row r="39" spans="1:35" x14ac:dyDescent="0.35">
      <c r="A39" t="s">
        <v>50</v>
      </c>
      <c r="B39" t="s">
        <v>95</v>
      </c>
      <c r="C39">
        <v>35</v>
      </c>
      <c r="D39">
        <v>5</v>
      </c>
      <c r="F39">
        <v>11</v>
      </c>
      <c r="G39">
        <v>16</v>
      </c>
      <c r="H39">
        <v>670</v>
      </c>
      <c r="I39">
        <v>50</v>
      </c>
      <c r="K39">
        <v>9701</v>
      </c>
      <c r="L39">
        <v>3094</v>
      </c>
      <c r="M39">
        <v>789</v>
      </c>
      <c r="O39">
        <v>9</v>
      </c>
      <c r="P39" t="e">
        <f ca="1">_xludf.VAR.P(C39, D39, F39, G39)</f>
        <v>#NAME?</v>
      </c>
      <c r="Q39" s="1">
        <v>0.93055841747372758</v>
      </c>
      <c r="R39">
        <v>14.479104477611941</v>
      </c>
      <c r="S39">
        <v>61.88</v>
      </c>
      <c r="T39">
        <v>19</v>
      </c>
      <c r="U39">
        <v>0</v>
      </c>
      <c r="V39">
        <v>1</v>
      </c>
      <c r="W39">
        <v>1</v>
      </c>
      <c r="X39">
        <v>1</v>
      </c>
      <c r="Y39">
        <v>0</v>
      </c>
      <c r="Z39">
        <v>0</v>
      </c>
      <c r="AA39" t="s">
        <v>114</v>
      </c>
      <c r="AB39" t="s">
        <v>175</v>
      </c>
      <c r="AC39" s="2">
        <v>0.996</v>
      </c>
      <c r="AD39" t="s">
        <v>209</v>
      </c>
      <c r="AE39" s="2">
        <v>2E-3</v>
      </c>
      <c r="AF39">
        <v>3</v>
      </c>
      <c r="AG39">
        <v>241</v>
      </c>
      <c r="AH39">
        <v>380.78</v>
      </c>
      <c r="AI39">
        <v>14</v>
      </c>
    </row>
    <row r="40" spans="1:35" x14ac:dyDescent="0.35">
      <c r="A40" t="s">
        <v>84</v>
      </c>
      <c r="B40" t="s">
        <v>95</v>
      </c>
      <c r="C40">
        <v>26</v>
      </c>
      <c r="D40">
        <v>5</v>
      </c>
      <c r="F40">
        <v>9</v>
      </c>
      <c r="G40">
        <v>18</v>
      </c>
      <c r="H40">
        <v>205</v>
      </c>
      <c r="I40">
        <v>123</v>
      </c>
      <c r="K40">
        <v>2466</v>
      </c>
      <c r="L40">
        <v>557</v>
      </c>
      <c r="M40">
        <v>222</v>
      </c>
      <c r="O40">
        <v>18</v>
      </c>
      <c r="P40" t="e">
        <f ca="1">_xludf.VAR.P(C40, D40, F40, G40)</f>
        <v>#NAME?</v>
      </c>
      <c r="Q40" s="1">
        <v>9.7244732576985418E-2</v>
      </c>
      <c r="R40">
        <v>12.02926829268293</v>
      </c>
      <c r="S40">
        <v>4.5284552845528454</v>
      </c>
      <c r="T40">
        <v>10</v>
      </c>
      <c r="U40">
        <v>0</v>
      </c>
      <c r="V40">
        <v>0</v>
      </c>
      <c r="W40">
        <v>0</v>
      </c>
      <c r="X40">
        <v>1</v>
      </c>
      <c r="Y40">
        <v>2</v>
      </c>
      <c r="Z40">
        <v>0</v>
      </c>
      <c r="AA40" t="s">
        <v>148</v>
      </c>
      <c r="AB40" t="s">
        <v>170</v>
      </c>
      <c r="AC40" s="2">
        <v>1</v>
      </c>
      <c r="AD40" t="s">
        <v>212</v>
      </c>
      <c r="AE40" s="2">
        <v>0</v>
      </c>
      <c r="AF40">
        <v>1</v>
      </c>
      <c r="AG40">
        <v>210</v>
      </c>
      <c r="AH40">
        <v>331.8</v>
      </c>
      <c r="AI40">
        <v>31</v>
      </c>
    </row>
    <row r="41" spans="1:35" x14ac:dyDescent="0.35">
      <c r="A41" t="s">
        <v>94</v>
      </c>
      <c r="B41" t="s">
        <v>95</v>
      </c>
      <c r="C41">
        <v>34</v>
      </c>
      <c r="D41">
        <v>5</v>
      </c>
      <c r="F41">
        <v>7</v>
      </c>
      <c r="G41">
        <v>17</v>
      </c>
      <c r="H41">
        <v>115</v>
      </c>
      <c r="I41">
        <v>105</v>
      </c>
      <c r="K41">
        <v>380</v>
      </c>
      <c r="L41">
        <v>171</v>
      </c>
      <c r="M41">
        <v>130</v>
      </c>
      <c r="O41">
        <v>28</v>
      </c>
      <c r="P41" t="e">
        <f ca="1">_xludf.VAR.P(C41, D41, F41, G41)</f>
        <v>#NAME?</v>
      </c>
      <c r="Q41" s="1">
        <v>0.64736842105263159</v>
      </c>
      <c r="R41">
        <v>3.304347826086957</v>
      </c>
      <c r="S41">
        <v>1.628571428571429</v>
      </c>
      <c r="T41">
        <v>9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 t="s">
        <v>158</v>
      </c>
      <c r="AB41" t="s">
        <v>204</v>
      </c>
      <c r="AC41" s="2">
        <v>0.51100000000000001</v>
      </c>
      <c r="AD41" t="s">
        <v>209</v>
      </c>
      <c r="AE41" s="2">
        <v>0.11600000000000001</v>
      </c>
      <c r="AF41">
        <v>10</v>
      </c>
      <c r="AG41">
        <v>193</v>
      </c>
      <c r="AH41">
        <v>304.94</v>
      </c>
      <c r="AI41">
        <v>11</v>
      </c>
    </row>
    <row r="42" spans="1:35" x14ac:dyDescent="0.35">
      <c r="A42" t="s">
        <v>56</v>
      </c>
      <c r="B42" t="s">
        <v>95</v>
      </c>
      <c r="C42">
        <v>32</v>
      </c>
      <c r="D42">
        <v>5</v>
      </c>
      <c r="F42">
        <v>12</v>
      </c>
      <c r="G42">
        <v>16</v>
      </c>
      <c r="H42">
        <v>127</v>
      </c>
      <c r="I42">
        <v>74</v>
      </c>
      <c r="K42">
        <v>545</v>
      </c>
      <c r="L42">
        <v>205</v>
      </c>
      <c r="M42">
        <v>126</v>
      </c>
      <c r="O42">
        <v>11</v>
      </c>
      <c r="P42" t="e">
        <f ca="1">_xludf.VAR.P(C42, D42, F42, G42)</f>
        <v>#NAME?</v>
      </c>
      <c r="Q42" s="1">
        <v>0.91376146788990831</v>
      </c>
      <c r="R42">
        <v>4.2913385826771657</v>
      </c>
      <c r="S42">
        <v>2.7702702702702702</v>
      </c>
      <c r="T42">
        <v>20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 t="s">
        <v>120</v>
      </c>
      <c r="AB42" t="s">
        <v>180</v>
      </c>
      <c r="AC42" s="2">
        <v>0.71299999999999997</v>
      </c>
      <c r="AD42" t="s">
        <v>206</v>
      </c>
      <c r="AE42" s="2">
        <v>0.25800000000000001</v>
      </c>
      <c r="AF42">
        <v>5</v>
      </c>
      <c r="AG42">
        <v>175</v>
      </c>
      <c r="AH42">
        <v>276.5</v>
      </c>
      <c r="AI42">
        <v>32</v>
      </c>
    </row>
    <row r="43" spans="1:35" x14ac:dyDescent="0.35">
      <c r="A43" t="s">
        <v>92</v>
      </c>
      <c r="B43" t="s">
        <v>95</v>
      </c>
      <c r="C43">
        <v>12</v>
      </c>
      <c r="D43">
        <v>12</v>
      </c>
      <c r="F43">
        <v>5</v>
      </c>
      <c r="G43">
        <v>20</v>
      </c>
      <c r="H43">
        <v>152</v>
      </c>
      <c r="I43">
        <v>145</v>
      </c>
      <c r="K43">
        <v>667</v>
      </c>
      <c r="L43">
        <v>155</v>
      </c>
      <c r="M43">
        <v>237</v>
      </c>
      <c r="O43">
        <v>27</v>
      </c>
      <c r="P43" t="e">
        <f ca="1">_xludf.VAR.P(C43, D43, F43, G43)</f>
        <v>#NAME?</v>
      </c>
      <c r="Q43" s="1">
        <v>0.83383233532934131</v>
      </c>
      <c r="R43">
        <v>4.3881578947368416</v>
      </c>
      <c r="S43">
        <v>1.068965517241379</v>
      </c>
      <c r="T43">
        <v>4</v>
      </c>
      <c r="U43">
        <v>29</v>
      </c>
      <c r="V43">
        <v>6</v>
      </c>
      <c r="W43">
        <v>4</v>
      </c>
      <c r="X43">
        <v>87</v>
      </c>
      <c r="Y43">
        <v>0</v>
      </c>
      <c r="Z43">
        <v>0</v>
      </c>
      <c r="AA43" t="s">
        <v>156</v>
      </c>
      <c r="AB43" t="s">
        <v>203</v>
      </c>
      <c r="AC43" s="2">
        <v>0.94099999999999995</v>
      </c>
      <c r="AD43" t="s">
        <v>222</v>
      </c>
      <c r="AE43" s="2">
        <v>5.8000000000000003E-2</v>
      </c>
      <c r="AF43">
        <v>2</v>
      </c>
      <c r="AG43">
        <v>175</v>
      </c>
      <c r="AH43">
        <v>276.5</v>
      </c>
      <c r="AI43">
        <v>19</v>
      </c>
    </row>
    <row r="44" spans="1:35" x14ac:dyDescent="0.35">
      <c r="A44" s="6" t="s">
        <v>83</v>
      </c>
      <c r="B44" t="s">
        <v>95</v>
      </c>
      <c r="C44">
        <v>20</v>
      </c>
      <c r="D44">
        <v>10</v>
      </c>
      <c r="F44">
        <v>5</v>
      </c>
      <c r="G44">
        <v>15</v>
      </c>
      <c r="H44">
        <v>90</v>
      </c>
      <c r="I44">
        <v>27</v>
      </c>
      <c r="K44">
        <v>405</v>
      </c>
      <c r="L44">
        <v>101</v>
      </c>
      <c r="M44">
        <v>103</v>
      </c>
      <c r="O44">
        <v>17</v>
      </c>
      <c r="P44" t="e">
        <f ca="1">_xludf.VAR.P(C44, D44, F44, G44)</f>
        <v>#NAME?</v>
      </c>
      <c r="Q44" s="1">
        <v>0.92345679012345683</v>
      </c>
      <c r="R44">
        <v>4.5</v>
      </c>
      <c r="S44">
        <v>3.7407407407407409</v>
      </c>
      <c r="T44">
        <v>11</v>
      </c>
      <c r="U44">
        <v>0</v>
      </c>
      <c r="V44">
        <v>0</v>
      </c>
      <c r="W44">
        <v>0</v>
      </c>
      <c r="X44">
        <v>5</v>
      </c>
      <c r="Y44">
        <v>0</v>
      </c>
      <c r="Z44">
        <v>0</v>
      </c>
      <c r="AA44" t="s">
        <v>147</v>
      </c>
      <c r="AB44" t="s">
        <v>170</v>
      </c>
      <c r="AC44" s="2">
        <v>1</v>
      </c>
      <c r="AD44" t="s">
        <v>212</v>
      </c>
      <c r="AE44" s="2">
        <v>0</v>
      </c>
      <c r="AF44">
        <v>1</v>
      </c>
      <c r="AG44">
        <v>160</v>
      </c>
      <c r="AH44">
        <v>252.8</v>
      </c>
      <c r="AI44">
        <v>6</v>
      </c>
    </row>
    <row r="45" spans="1:35" x14ac:dyDescent="0.35">
      <c r="A45" t="s">
        <v>91</v>
      </c>
      <c r="B45" t="s">
        <v>95</v>
      </c>
      <c r="C45">
        <v>15</v>
      </c>
      <c r="D45">
        <v>5</v>
      </c>
      <c r="F45">
        <v>14</v>
      </c>
      <c r="G45">
        <v>17</v>
      </c>
      <c r="H45">
        <v>105</v>
      </c>
      <c r="I45">
        <v>70</v>
      </c>
      <c r="K45">
        <v>162</v>
      </c>
      <c r="L45">
        <v>118</v>
      </c>
      <c r="M45">
        <v>98</v>
      </c>
      <c r="O45">
        <v>27</v>
      </c>
      <c r="P45" t="e">
        <f ca="1">_xludf.VAR.P(C45, D45, F45, G45)</f>
        <v>#NAME?</v>
      </c>
      <c r="Q45" s="1">
        <v>0.7592592592592593</v>
      </c>
      <c r="R45">
        <v>1.5428571428571429</v>
      </c>
      <c r="S45">
        <v>1.6857142857142859</v>
      </c>
      <c r="T45">
        <v>10</v>
      </c>
      <c r="U45">
        <v>0</v>
      </c>
      <c r="V45">
        <v>0</v>
      </c>
      <c r="W45">
        <v>0</v>
      </c>
      <c r="X45">
        <v>1</v>
      </c>
      <c r="Y45">
        <v>1</v>
      </c>
      <c r="Z45">
        <v>0</v>
      </c>
      <c r="AA45" t="s">
        <v>155</v>
      </c>
      <c r="AB45" t="s">
        <v>170</v>
      </c>
      <c r="AC45" s="2">
        <v>1</v>
      </c>
      <c r="AD45" t="s">
        <v>212</v>
      </c>
      <c r="AE45" s="2">
        <v>0</v>
      </c>
      <c r="AF45">
        <v>1</v>
      </c>
      <c r="AG45">
        <v>135</v>
      </c>
      <c r="AH45">
        <v>213.3</v>
      </c>
      <c r="AI45">
        <v>11</v>
      </c>
    </row>
    <row r="46" spans="1:35" x14ac:dyDescent="0.35">
      <c r="A46" s="8" t="s">
        <v>62</v>
      </c>
      <c r="B46" s="6" t="s">
        <v>95</v>
      </c>
      <c r="C46" s="6">
        <v>25</v>
      </c>
      <c r="D46" s="6">
        <v>17</v>
      </c>
      <c r="E46" s="6"/>
      <c r="F46" s="6">
        <v>22</v>
      </c>
      <c r="G46" s="6">
        <v>17</v>
      </c>
      <c r="H46" s="6">
        <v>76</v>
      </c>
      <c r="I46" s="6">
        <v>29</v>
      </c>
      <c r="J46" s="6"/>
      <c r="K46" s="6">
        <v>244</v>
      </c>
      <c r="L46" s="6">
        <v>335</v>
      </c>
      <c r="M46" s="6">
        <v>88</v>
      </c>
      <c r="N46" s="6"/>
      <c r="O46" s="6">
        <v>12</v>
      </c>
      <c r="P46" s="6" t="e">
        <f ca="1">_xludf.VAR.P(C46, D46, F46, G46)</f>
        <v>#NAME?</v>
      </c>
      <c r="Q46" s="9">
        <v>0.87551867219917012</v>
      </c>
      <c r="R46" s="6">
        <v>3.2105263157894739</v>
      </c>
      <c r="S46" s="6">
        <v>11.55172413793103</v>
      </c>
      <c r="T46" s="6">
        <v>8</v>
      </c>
      <c r="U46" s="6">
        <v>0</v>
      </c>
      <c r="V46" s="6">
        <v>0</v>
      </c>
      <c r="W46" s="6">
        <v>0</v>
      </c>
      <c r="X46" s="6">
        <v>1</v>
      </c>
      <c r="Y46" s="6">
        <v>0</v>
      </c>
      <c r="Z46" s="6">
        <v>0</v>
      </c>
      <c r="AA46" s="6" t="s">
        <v>126</v>
      </c>
      <c r="AB46" s="6" t="s">
        <v>186</v>
      </c>
      <c r="AC46" s="5">
        <v>0.98499999999999999</v>
      </c>
      <c r="AD46" s="6" t="s">
        <v>218</v>
      </c>
      <c r="AE46" s="5">
        <v>8.0000000000000002E-3</v>
      </c>
      <c r="AF46" s="6">
        <v>4</v>
      </c>
      <c r="AG46" s="6">
        <v>133</v>
      </c>
      <c r="AH46" s="6">
        <v>210.14</v>
      </c>
      <c r="AI46" s="6">
        <v>7</v>
      </c>
    </row>
    <row r="47" spans="1:35" x14ac:dyDescent="0.35">
      <c r="A47" t="s">
        <v>35</v>
      </c>
      <c r="B47" t="s">
        <v>95</v>
      </c>
      <c r="C47">
        <v>30</v>
      </c>
      <c r="D47">
        <v>5</v>
      </c>
      <c r="F47">
        <v>23</v>
      </c>
      <c r="G47">
        <v>19</v>
      </c>
      <c r="H47">
        <v>387</v>
      </c>
      <c r="I47">
        <v>1428</v>
      </c>
      <c r="K47">
        <v>1363</v>
      </c>
      <c r="L47">
        <v>2056</v>
      </c>
      <c r="M47">
        <v>398</v>
      </c>
      <c r="O47">
        <v>3</v>
      </c>
      <c r="P47" t="e">
        <f ca="1">_xludf.VAR.P(C47, D47, F47, G47)</f>
        <v>#NAME?</v>
      </c>
      <c r="Q47" s="1">
        <v>0.6162876008804109</v>
      </c>
      <c r="R47">
        <v>3.521963824289406</v>
      </c>
      <c r="S47">
        <v>1.4397759103641461</v>
      </c>
      <c r="T47">
        <v>22</v>
      </c>
      <c r="U47">
        <v>0</v>
      </c>
      <c r="V47">
        <v>0</v>
      </c>
      <c r="W47">
        <v>0</v>
      </c>
      <c r="X47">
        <v>0</v>
      </c>
      <c r="Y47">
        <v>2</v>
      </c>
      <c r="Z47">
        <v>0</v>
      </c>
      <c r="AA47" t="s">
        <v>99</v>
      </c>
      <c r="AB47" t="s">
        <v>162</v>
      </c>
      <c r="AC47" s="2">
        <v>0.99099999999999999</v>
      </c>
      <c r="AD47" t="s">
        <v>206</v>
      </c>
      <c r="AE47" s="2">
        <v>4.0000000000000001E-3</v>
      </c>
      <c r="AF47">
        <v>5</v>
      </c>
      <c r="AG47">
        <v>125</v>
      </c>
      <c r="AH47">
        <v>197.5</v>
      </c>
      <c r="AI47">
        <v>22</v>
      </c>
    </row>
    <row r="48" spans="1:35" x14ac:dyDescent="0.35">
      <c r="A48" s="7" t="s">
        <v>74</v>
      </c>
      <c r="B48" t="s">
        <v>95</v>
      </c>
      <c r="C48">
        <v>18</v>
      </c>
      <c r="D48">
        <v>5</v>
      </c>
      <c r="F48">
        <v>10</v>
      </c>
      <c r="G48">
        <v>14</v>
      </c>
      <c r="H48">
        <v>80</v>
      </c>
      <c r="I48">
        <v>50</v>
      </c>
      <c r="K48">
        <v>317</v>
      </c>
      <c r="L48">
        <v>64</v>
      </c>
      <c r="M48">
        <v>94</v>
      </c>
      <c r="O48">
        <v>15</v>
      </c>
      <c r="P48" t="e">
        <f ca="1">_xludf.VAR.P(C48, D48, F48, G48)</f>
        <v>#NAME?</v>
      </c>
      <c r="Q48" s="1">
        <v>0.29392971246006389</v>
      </c>
      <c r="R48">
        <v>3.9624999999999999</v>
      </c>
      <c r="S48">
        <v>1.28</v>
      </c>
      <c r="T48">
        <v>8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 t="s">
        <v>138</v>
      </c>
      <c r="AB48" t="s">
        <v>170</v>
      </c>
      <c r="AC48" s="2">
        <v>1</v>
      </c>
      <c r="AD48" t="s">
        <v>212</v>
      </c>
      <c r="AE48" s="2">
        <v>0</v>
      </c>
      <c r="AF48">
        <v>1</v>
      </c>
      <c r="AG48">
        <v>80</v>
      </c>
      <c r="AH48">
        <v>126.4</v>
      </c>
      <c r="AI48">
        <v>7</v>
      </c>
    </row>
    <row r="49" spans="1:35" x14ac:dyDescent="0.35">
      <c r="A49" t="s">
        <v>69</v>
      </c>
      <c r="B49" t="s">
        <v>95</v>
      </c>
      <c r="C49">
        <v>9</v>
      </c>
      <c r="D49">
        <v>5</v>
      </c>
      <c r="F49">
        <v>6</v>
      </c>
      <c r="G49">
        <v>15</v>
      </c>
      <c r="H49">
        <v>90</v>
      </c>
      <c r="I49">
        <v>49</v>
      </c>
      <c r="K49">
        <v>155</v>
      </c>
      <c r="L49">
        <v>54</v>
      </c>
      <c r="M49">
        <v>89</v>
      </c>
      <c r="O49">
        <v>14</v>
      </c>
      <c r="P49" t="e">
        <f ca="1">_xludf.VAR.P(C49, D49, F49, G49)</f>
        <v>#NAME?</v>
      </c>
      <c r="Q49" s="1">
        <v>0.76774193548387093</v>
      </c>
      <c r="R49">
        <v>1.7222222222222221</v>
      </c>
      <c r="S49">
        <v>1.1020408163265309</v>
      </c>
      <c r="T49">
        <v>15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 t="s">
        <v>133</v>
      </c>
      <c r="AB49" t="s">
        <v>170</v>
      </c>
      <c r="AC49" s="2">
        <v>1</v>
      </c>
      <c r="AD49" t="s">
        <v>212</v>
      </c>
      <c r="AE49" s="2">
        <v>0</v>
      </c>
      <c r="AF49">
        <v>1</v>
      </c>
      <c r="AG49">
        <v>55</v>
      </c>
      <c r="AH49">
        <v>86.9</v>
      </c>
      <c r="AI49">
        <v>3</v>
      </c>
    </row>
    <row r="50" spans="1:35" x14ac:dyDescent="0.35">
      <c r="A50" t="s">
        <v>46</v>
      </c>
      <c r="B50" t="s">
        <v>95</v>
      </c>
      <c r="C50">
        <v>27</v>
      </c>
      <c r="D50">
        <v>11</v>
      </c>
      <c r="F50">
        <v>10</v>
      </c>
      <c r="G50">
        <v>16</v>
      </c>
      <c r="H50">
        <v>77</v>
      </c>
      <c r="I50">
        <v>56</v>
      </c>
      <c r="K50">
        <v>184</v>
      </c>
      <c r="L50">
        <v>74</v>
      </c>
      <c r="M50">
        <v>78</v>
      </c>
      <c r="O50">
        <v>7</v>
      </c>
      <c r="P50" t="e">
        <f ca="1">_xludf.VAR.P(C50, D50, F50, G50)</f>
        <v>#NAME?</v>
      </c>
      <c r="Q50" s="1">
        <v>0.91847826086956519</v>
      </c>
      <c r="R50">
        <v>2.38961038961039</v>
      </c>
      <c r="S50">
        <v>1.321428571428571</v>
      </c>
      <c r="T50">
        <v>11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 t="s">
        <v>110</v>
      </c>
      <c r="AB50" t="s">
        <v>170</v>
      </c>
      <c r="AC50" s="2">
        <v>1</v>
      </c>
      <c r="AD50" t="s">
        <v>212</v>
      </c>
      <c r="AE50" s="2">
        <v>0</v>
      </c>
      <c r="AF50">
        <v>1</v>
      </c>
      <c r="AG50">
        <v>55</v>
      </c>
      <c r="AH50">
        <v>86.9</v>
      </c>
      <c r="AI50">
        <v>3</v>
      </c>
    </row>
    <row r="51" spans="1:35" x14ac:dyDescent="0.35">
      <c r="A51" t="s">
        <v>47</v>
      </c>
      <c r="B51" t="s">
        <v>95</v>
      </c>
      <c r="C51">
        <v>21</v>
      </c>
      <c r="D51">
        <v>5</v>
      </c>
      <c r="F51">
        <v>9</v>
      </c>
      <c r="G51">
        <v>18</v>
      </c>
      <c r="H51">
        <v>111</v>
      </c>
      <c r="I51">
        <v>61</v>
      </c>
      <c r="K51">
        <v>383</v>
      </c>
      <c r="L51">
        <v>729</v>
      </c>
      <c r="M51">
        <v>123</v>
      </c>
      <c r="O51">
        <v>7</v>
      </c>
      <c r="P51" t="e">
        <f ca="1">_xludf.VAR.P(C51, D51, F51, G51)</f>
        <v>#NAME?</v>
      </c>
      <c r="Q51" s="1">
        <v>0.77864583333333337</v>
      </c>
      <c r="R51">
        <v>3.4504504504504498</v>
      </c>
      <c r="S51">
        <v>11.95081967213115</v>
      </c>
      <c r="T51">
        <v>21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 t="s">
        <v>111</v>
      </c>
      <c r="AB51" t="s">
        <v>172</v>
      </c>
      <c r="AC51" s="2">
        <v>0.97</v>
      </c>
      <c r="AD51" t="s">
        <v>206</v>
      </c>
      <c r="AE51" s="2">
        <v>2.5999999999999999E-2</v>
      </c>
      <c r="AF51">
        <v>4</v>
      </c>
      <c r="AG51">
        <v>55</v>
      </c>
      <c r="AH51">
        <v>86.9</v>
      </c>
      <c r="AI51">
        <v>3</v>
      </c>
    </row>
    <row r="52" spans="1:35" x14ac:dyDescent="0.35">
      <c r="A52" t="s">
        <v>90</v>
      </c>
      <c r="B52" t="s">
        <v>95</v>
      </c>
      <c r="C52">
        <v>14</v>
      </c>
      <c r="D52">
        <v>5</v>
      </c>
      <c r="F52">
        <v>7</v>
      </c>
      <c r="G52">
        <v>18</v>
      </c>
      <c r="H52">
        <v>375</v>
      </c>
      <c r="I52">
        <v>277</v>
      </c>
      <c r="K52">
        <v>729</v>
      </c>
      <c r="L52">
        <v>487</v>
      </c>
      <c r="M52">
        <v>216</v>
      </c>
      <c r="O52">
        <v>25</v>
      </c>
      <c r="P52" t="e">
        <f ca="1">_xludf.VAR.P(C52, D52, F52, G52)</f>
        <v>#NAME?</v>
      </c>
      <c r="Q52" s="1">
        <v>0.44642857142857151</v>
      </c>
      <c r="R52">
        <v>1.944</v>
      </c>
      <c r="S52">
        <v>1.7581227436823099</v>
      </c>
      <c r="T52">
        <v>5</v>
      </c>
      <c r="U52">
        <v>0</v>
      </c>
      <c r="V52">
        <v>0</v>
      </c>
      <c r="W52">
        <v>0</v>
      </c>
      <c r="X52">
        <v>1</v>
      </c>
      <c r="Y52">
        <v>1</v>
      </c>
      <c r="Z52">
        <v>0</v>
      </c>
      <c r="AA52" t="s">
        <v>154</v>
      </c>
      <c r="AB52" t="s">
        <v>202</v>
      </c>
      <c r="AC52" s="2">
        <v>0.85599999999999998</v>
      </c>
      <c r="AD52" t="s">
        <v>221</v>
      </c>
      <c r="AE52" s="2">
        <v>0.12</v>
      </c>
      <c r="AF52">
        <v>5</v>
      </c>
      <c r="AG52">
        <v>50</v>
      </c>
      <c r="AH52">
        <v>79</v>
      </c>
      <c r="AI52">
        <v>3</v>
      </c>
    </row>
    <row r="53" spans="1:35" x14ac:dyDescent="0.35">
      <c r="A53" t="s">
        <v>86</v>
      </c>
      <c r="B53" t="s">
        <v>95</v>
      </c>
      <c r="C53">
        <v>26</v>
      </c>
      <c r="D53">
        <v>5</v>
      </c>
      <c r="F53">
        <v>9</v>
      </c>
      <c r="G53">
        <v>18</v>
      </c>
      <c r="H53">
        <v>429</v>
      </c>
      <c r="I53">
        <v>175</v>
      </c>
      <c r="K53">
        <v>1239</v>
      </c>
      <c r="L53">
        <v>421</v>
      </c>
      <c r="M53">
        <v>249</v>
      </c>
      <c r="O53">
        <v>21</v>
      </c>
      <c r="P53" t="e">
        <f ca="1">_xludf.VAR.P(C53, D53, F53, G53)</f>
        <v>#NAME?</v>
      </c>
      <c r="Q53" s="1">
        <v>0.34870550161812303</v>
      </c>
      <c r="R53">
        <v>2.8881118881118879</v>
      </c>
      <c r="S53">
        <v>2.4057142857142861</v>
      </c>
      <c r="T53">
        <v>9</v>
      </c>
      <c r="U53">
        <v>195</v>
      </c>
      <c r="V53">
        <v>0</v>
      </c>
      <c r="W53">
        <v>0</v>
      </c>
      <c r="X53">
        <v>376</v>
      </c>
      <c r="Y53">
        <v>3</v>
      </c>
      <c r="Z53">
        <v>0</v>
      </c>
      <c r="AA53" t="s">
        <v>150</v>
      </c>
      <c r="AB53" t="s">
        <v>200</v>
      </c>
      <c r="AC53" s="2">
        <v>0.95200000000000007</v>
      </c>
      <c r="AD53" t="s">
        <v>215</v>
      </c>
      <c r="AE53" s="2">
        <v>1.2E-2</v>
      </c>
      <c r="AF53">
        <v>10</v>
      </c>
      <c r="AG53">
        <v>33</v>
      </c>
      <c r="AH53">
        <v>52.14</v>
      </c>
      <c r="AI53">
        <v>3</v>
      </c>
    </row>
    <row r="54" spans="1:35" x14ac:dyDescent="0.35">
      <c r="A54" t="s">
        <v>67</v>
      </c>
      <c r="B54" t="s">
        <v>95</v>
      </c>
      <c r="C54">
        <v>10</v>
      </c>
      <c r="D54">
        <v>9</v>
      </c>
      <c r="F54">
        <v>9</v>
      </c>
      <c r="G54">
        <v>13</v>
      </c>
      <c r="H54">
        <v>62</v>
      </c>
      <c r="I54">
        <v>42</v>
      </c>
      <c r="K54">
        <v>77</v>
      </c>
      <c r="L54">
        <v>46</v>
      </c>
      <c r="M54">
        <v>56</v>
      </c>
      <c r="O54">
        <v>13</v>
      </c>
      <c r="P54" t="e">
        <f ca="1">_xludf.VAR.P(C54, D54, F54, G54)</f>
        <v>#NAME?</v>
      </c>
      <c r="Q54" s="1">
        <v>0.76623376623376627</v>
      </c>
      <c r="R54">
        <v>1.241935483870968</v>
      </c>
      <c r="S54">
        <v>1.0952380952380949</v>
      </c>
      <c r="T54">
        <v>11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t="s">
        <v>131</v>
      </c>
      <c r="AB54" t="s">
        <v>170</v>
      </c>
      <c r="AC54" s="2">
        <v>1</v>
      </c>
      <c r="AD54" t="s">
        <v>212</v>
      </c>
      <c r="AE54" s="2">
        <v>0</v>
      </c>
      <c r="AF54">
        <v>1</v>
      </c>
      <c r="AG54">
        <v>31</v>
      </c>
      <c r="AH54">
        <v>48.98</v>
      </c>
      <c r="AI54">
        <v>3</v>
      </c>
    </row>
    <row r="55" spans="1:35" x14ac:dyDescent="0.35">
      <c r="A55" t="s">
        <v>32</v>
      </c>
      <c r="B55" t="s">
        <v>95</v>
      </c>
      <c r="C55">
        <v>18</v>
      </c>
      <c r="D55">
        <v>5</v>
      </c>
      <c r="F55">
        <v>23</v>
      </c>
      <c r="G55">
        <v>14</v>
      </c>
      <c r="H55">
        <v>76</v>
      </c>
      <c r="I55">
        <v>33</v>
      </c>
      <c r="K55">
        <v>359</v>
      </c>
      <c r="L55">
        <v>61</v>
      </c>
      <c r="M55">
        <v>93</v>
      </c>
      <c r="O55">
        <v>2</v>
      </c>
      <c r="P55" t="e">
        <f ca="1">_xludf.VAR.P(C55, D55, F55, G55)</f>
        <v>#NAME?</v>
      </c>
      <c r="Q55" s="1">
        <v>0.40771349862258949</v>
      </c>
      <c r="R55">
        <v>4.7236842105263159</v>
      </c>
      <c r="S55">
        <v>1.848484848484848</v>
      </c>
      <c r="T55">
        <v>22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 t="s">
        <v>96</v>
      </c>
      <c r="AB55" t="s">
        <v>159</v>
      </c>
      <c r="AC55" s="2">
        <v>0.96400000000000008</v>
      </c>
      <c r="AD55" t="s">
        <v>205</v>
      </c>
      <c r="AE55" s="2">
        <v>3.5000000000000003E-2</v>
      </c>
      <c r="AF55">
        <v>2</v>
      </c>
      <c r="AG55">
        <v>30</v>
      </c>
      <c r="AH55">
        <v>47.4</v>
      </c>
      <c r="AI55">
        <v>5</v>
      </c>
    </row>
    <row r="56" spans="1:35" x14ac:dyDescent="0.35">
      <c r="A56" t="s">
        <v>57</v>
      </c>
      <c r="B56" t="s">
        <v>95</v>
      </c>
      <c r="C56">
        <v>20</v>
      </c>
      <c r="D56">
        <v>5</v>
      </c>
      <c r="F56">
        <v>13</v>
      </c>
      <c r="G56">
        <v>17</v>
      </c>
      <c r="H56">
        <v>147</v>
      </c>
      <c r="I56">
        <v>40</v>
      </c>
      <c r="K56">
        <v>1292</v>
      </c>
      <c r="L56">
        <v>594</v>
      </c>
      <c r="M56">
        <v>183</v>
      </c>
      <c r="O56">
        <v>11</v>
      </c>
      <c r="P56" t="e">
        <f ca="1">_xludf.VAR.P(C56, D56, F56, G56)</f>
        <v>#NAME?</v>
      </c>
      <c r="Q56" s="1">
        <v>0.95123839009287925</v>
      </c>
      <c r="R56">
        <v>8.7891156462585034</v>
      </c>
      <c r="S56">
        <v>14.85</v>
      </c>
      <c r="T56">
        <v>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t="s">
        <v>121</v>
      </c>
      <c r="AB56" t="s">
        <v>181</v>
      </c>
      <c r="AC56" s="2">
        <v>0.996</v>
      </c>
      <c r="AD56" t="s">
        <v>216</v>
      </c>
      <c r="AE56" s="2">
        <v>3.0000000000000001E-3</v>
      </c>
      <c r="AF56">
        <v>2</v>
      </c>
      <c r="AG56">
        <v>25</v>
      </c>
      <c r="AH56">
        <v>39.5</v>
      </c>
      <c r="AI56">
        <v>0</v>
      </c>
    </row>
    <row r="57" spans="1:35" x14ac:dyDescent="0.35">
      <c r="A57" t="s">
        <v>79</v>
      </c>
      <c r="B57" t="s">
        <v>95</v>
      </c>
      <c r="C57">
        <v>18</v>
      </c>
      <c r="D57">
        <v>5</v>
      </c>
      <c r="F57">
        <v>6</v>
      </c>
      <c r="G57">
        <v>16</v>
      </c>
      <c r="H57">
        <v>519</v>
      </c>
      <c r="I57">
        <v>62</v>
      </c>
      <c r="K57">
        <v>2380</v>
      </c>
      <c r="L57">
        <v>170</v>
      </c>
      <c r="M57">
        <v>536</v>
      </c>
      <c r="O57">
        <v>16</v>
      </c>
      <c r="P57" t="e">
        <f ca="1">_xludf.VAR.P(C57, D57, F57, G57)</f>
        <v>#NAME?</v>
      </c>
      <c r="Q57" s="1">
        <v>0.84055532183424486</v>
      </c>
      <c r="R57">
        <v>4.5857418111753372</v>
      </c>
      <c r="S57">
        <v>2.741935483870968</v>
      </c>
      <c r="T57">
        <v>4</v>
      </c>
      <c r="U57">
        <v>0</v>
      </c>
      <c r="V57">
        <v>0</v>
      </c>
      <c r="W57">
        <v>0</v>
      </c>
      <c r="X57">
        <v>1</v>
      </c>
      <c r="Y57">
        <v>1</v>
      </c>
      <c r="Z57">
        <v>0</v>
      </c>
      <c r="AA57" t="s">
        <v>143</v>
      </c>
      <c r="AB57" t="s">
        <v>170</v>
      </c>
      <c r="AC57" s="2">
        <v>1</v>
      </c>
      <c r="AD57" t="s">
        <v>212</v>
      </c>
      <c r="AE57" s="2">
        <v>0</v>
      </c>
      <c r="AF57">
        <v>1</v>
      </c>
      <c r="AG57">
        <v>25</v>
      </c>
      <c r="AH57">
        <v>39.5</v>
      </c>
      <c r="AI57">
        <v>0</v>
      </c>
    </row>
    <row r="58" spans="1:35" x14ac:dyDescent="0.35">
      <c r="A58" t="s">
        <v>89</v>
      </c>
      <c r="B58" t="s">
        <v>95</v>
      </c>
      <c r="C58">
        <v>11</v>
      </c>
      <c r="D58">
        <v>8</v>
      </c>
      <c r="F58">
        <v>7</v>
      </c>
      <c r="G58">
        <v>15</v>
      </c>
      <c r="H58">
        <v>72</v>
      </c>
      <c r="I58">
        <v>52</v>
      </c>
      <c r="K58">
        <v>206</v>
      </c>
      <c r="L58">
        <v>58</v>
      </c>
      <c r="M58">
        <v>81</v>
      </c>
      <c r="O58">
        <v>23</v>
      </c>
      <c r="P58" t="e">
        <f ca="1">_xludf.VAR.P(C58, D58, F58, G58)</f>
        <v>#NAME?</v>
      </c>
      <c r="Q58" s="1">
        <v>0.33333333333333331</v>
      </c>
      <c r="R58">
        <v>2.8611111111111112</v>
      </c>
      <c r="S58">
        <v>1.115384615384615</v>
      </c>
      <c r="T58">
        <v>10</v>
      </c>
      <c r="U58">
        <v>0</v>
      </c>
      <c r="V58">
        <v>0</v>
      </c>
      <c r="W58">
        <v>0</v>
      </c>
      <c r="X58">
        <v>6</v>
      </c>
      <c r="Y58">
        <v>2</v>
      </c>
      <c r="Z58">
        <v>0</v>
      </c>
      <c r="AA58" t="s">
        <v>153</v>
      </c>
      <c r="AB58" t="s">
        <v>170</v>
      </c>
      <c r="AC58" s="2">
        <v>1</v>
      </c>
      <c r="AD58" t="s">
        <v>212</v>
      </c>
      <c r="AE58" s="2">
        <v>0</v>
      </c>
      <c r="AF58">
        <v>1</v>
      </c>
      <c r="AG58">
        <v>25</v>
      </c>
      <c r="AH58">
        <v>39.5</v>
      </c>
      <c r="AI58">
        <v>0</v>
      </c>
    </row>
    <row r="59" spans="1:35" x14ac:dyDescent="0.35">
      <c r="A59" t="s">
        <v>65</v>
      </c>
      <c r="B59" t="s">
        <v>95</v>
      </c>
      <c r="C59">
        <v>8</v>
      </c>
      <c r="D59">
        <v>5</v>
      </c>
      <c r="F59">
        <v>13</v>
      </c>
      <c r="G59">
        <v>13</v>
      </c>
      <c r="H59">
        <v>91</v>
      </c>
      <c r="I59">
        <v>43</v>
      </c>
      <c r="K59">
        <v>328</v>
      </c>
      <c r="L59">
        <v>62</v>
      </c>
      <c r="M59">
        <v>94</v>
      </c>
      <c r="O59">
        <v>13</v>
      </c>
      <c r="P59" t="e">
        <f ca="1">_xludf.VAR.P(C59, D59, F59, G59)</f>
        <v>#NAME?</v>
      </c>
      <c r="Q59" s="1">
        <v>0.2385321100917431</v>
      </c>
      <c r="R59">
        <v>3.604395604395604</v>
      </c>
      <c r="S59">
        <v>1.441860465116279</v>
      </c>
      <c r="T59">
        <v>5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 t="s">
        <v>129</v>
      </c>
      <c r="AB59" t="s">
        <v>189</v>
      </c>
      <c r="AC59" s="2">
        <v>0.875</v>
      </c>
      <c r="AD59" t="s">
        <v>211</v>
      </c>
      <c r="AE59" s="2">
        <v>6.2E-2</v>
      </c>
      <c r="AF59">
        <v>3</v>
      </c>
      <c r="AG59">
        <v>25</v>
      </c>
      <c r="AH59">
        <v>39.5</v>
      </c>
      <c r="AI59">
        <v>0</v>
      </c>
    </row>
    <row r="60" spans="1:35" x14ac:dyDescent="0.35">
      <c r="A60" t="s">
        <v>88</v>
      </c>
      <c r="B60" t="s">
        <v>95</v>
      </c>
      <c r="C60">
        <v>22</v>
      </c>
      <c r="D60">
        <v>5</v>
      </c>
      <c r="F60">
        <v>15</v>
      </c>
      <c r="G60">
        <v>13</v>
      </c>
      <c r="H60">
        <v>67</v>
      </c>
      <c r="I60">
        <v>29</v>
      </c>
      <c r="K60">
        <v>390</v>
      </c>
      <c r="L60">
        <v>92</v>
      </c>
      <c r="M60">
        <v>51</v>
      </c>
      <c r="O60">
        <v>22</v>
      </c>
      <c r="P60" t="e">
        <f ca="1">_xludf.VAR.P(C60, D60, F60, G60)</f>
        <v>#NAME?</v>
      </c>
      <c r="Q60" s="1">
        <v>0.93333333333333335</v>
      </c>
      <c r="R60">
        <v>5.8208955223880601</v>
      </c>
      <c r="S60">
        <v>3.172413793103448</v>
      </c>
      <c r="T60">
        <v>18</v>
      </c>
      <c r="U60">
        <v>0</v>
      </c>
      <c r="V60">
        <v>0</v>
      </c>
      <c r="W60">
        <v>0</v>
      </c>
      <c r="X60">
        <v>1</v>
      </c>
      <c r="Y60">
        <v>1</v>
      </c>
      <c r="Z60">
        <v>0</v>
      </c>
      <c r="AA60" t="s">
        <v>152</v>
      </c>
      <c r="AB60" t="s">
        <v>201</v>
      </c>
      <c r="AC60" s="2">
        <v>0.80700000000000005</v>
      </c>
      <c r="AD60" t="s">
        <v>215</v>
      </c>
      <c r="AE60" s="2">
        <v>0.10199999999999999</v>
      </c>
      <c r="AF60">
        <v>4</v>
      </c>
      <c r="AG60">
        <v>16</v>
      </c>
      <c r="AH60">
        <v>25.28</v>
      </c>
      <c r="AI60">
        <v>4</v>
      </c>
    </row>
    <row r="61" spans="1:35" x14ac:dyDescent="0.35">
      <c r="A61" t="s">
        <v>72</v>
      </c>
      <c r="B61" t="s">
        <v>95</v>
      </c>
      <c r="C61">
        <v>20</v>
      </c>
      <c r="D61">
        <v>5</v>
      </c>
      <c r="F61">
        <v>6</v>
      </c>
      <c r="G61">
        <v>15</v>
      </c>
      <c r="H61">
        <v>118</v>
      </c>
      <c r="I61">
        <v>67</v>
      </c>
      <c r="K61">
        <v>918</v>
      </c>
      <c r="L61">
        <v>136</v>
      </c>
      <c r="M61">
        <v>137</v>
      </c>
      <c r="O61">
        <v>14</v>
      </c>
      <c r="P61" t="e">
        <f ca="1">_xludf.VAR.P(C61, D61, F61, G61)</f>
        <v>#NAME?</v>
      </c>
      <c r="Q61" s="1">
        <v>0.71350762527233114</v>
      </c>
      <c r="R61">
        <v>7.7796610169491522</v>
      </c>
      <c r="S61">
        <v>2.0298507462686568</v>
      </c>
      <c r="T61">
        <v>6</v>
      </c>
      <c r="U61">
        <v>0</v>
      </c>
      <c r="V61">
        <v>0</v>
      </c>
      <c r="W61">
        <v>0</v>
      </c>
      <c r="X61">
        <v>4</v>
      </c>
      <c r="Y61">
        <v>1</v>
      </c>
      <c r="Z61">
        <v>0</v>
      </c>
      <c r="AA61" t="s">
        <v>136</v>
      </c>
      <c r="AB61" t="s">
        <v>193</v>
      </c>
      <c r="AC61" s="2">
        <v>0.90400000000000003</v>
      </c>
      <c r="AD61" t="s">
        <v>206</v>
      </c>
      <c r="AE61" s="2">
        <v>7.0999999999999994E-2</v>
      </c>
      <c r="AF61">
        <v>3</v>
      </c>
      <c r="AG61">
        <v>6</v>
      </c>
      <c r="AH61">
        <v>9.48</v>
      </c>
      <c r="AI61">
        <v>2</v>
      </c>
    </row>
    <row r="62" spans="1:35" x14ac:dyDescent="0.35">
      <c r="A62" t="s">
        <v>93</v>
      </c>
      <c r="B62" t="s">
        <v>95</v>
      </c>
      <c r="C62">
        <v>5</v>
      </c>
      <c r="D62">
        <v>7</v>
      </c>
      <c r="F62">
        <v>8</v>
      </c>
      <c r="G62">
        <v>10</v>
      </c>
      <c r="H62">
        <v>71</v>
      </c>
      <c r="I62">
        <v>26</v>
      </c>
      <c r="K62">
        <v>121</v>
      </c>
      <c r="L62">
        <v>38</v>
      </c>
      <c r="M62">
        <v>41</v>
      </c>
      <c r="O62">
        <v>28</v>
      </c>
      <c r="P62" t="e">
        <f ca="1">_xludf.VAR.P(C62, D62, F62, G62)</f>
        <v>#NAME?</v>
      </c>
      <c r="Q62" s="1">
        <v>0.27272727272727271</v>
      </c>
      <c r="R62">
        <v>1.704225352112676</v>
      </c>
      <c r="S62">
        <v>1.461538461538461</v>
      </c>
      <c r="T62">
        <v>11</v>
      </c>
      <c r="U62">
        <v>0</v>
      </c>
      <c r="V62">
        <v>0</v>
      </c>
      <c r="W62">
        <v>0</v>
      </c>
      <c r="X62">
        <v>3</v>
      </c>
      <c r="Y62">
        <v>4</v>
      </c>
      <c r="Z62">
        <v>0</v>
      </c>
      <c r="AA62" t="s">
        <v>157</v>
      </c>
      <c r="AB62" t="s">
        <v>170</v>
      </c>
      <c r="AC62" s="2">
        <v>1</v>
      </c>
      <c r="AD62" t="s">
        <v>212</v>
      </c>
      <c r="AE62" s="2">
        <v>0</v>
      </c>
      <c r="AF62">
        <v>1</v>
      </c>
      <c r="AG62">
        <v>1</v>
      </c>
      <c r="AH62">
        <v>1.58</v>
      </c>
      <c r="AI62">
        <v>1</v>
      </c>
    </row>
    <row r="63" spans="1:35" x14ac:dyDescent="0.35">
      <c r="A63" t="s">
        <v>82</v>
      </c>
      <c r="B63" t="s">
        <v>95</v>
      </c>
      <c r="C63">
        <v>16</v>
      </c>
      <c r="D63">
        <v>5</v>
      </c>
      <c r="F63">
        <v>7</v>
      </c>
      <c r="G63">
        <v>12</v>
      </c>
      <c r="H63">
        <v>60</v>
      </c>
      <c r="I63">
        <v>25</v>
      </c>
      <c r="K63">
        <v>102</v>
      </c>
      <c r="L63">
        <v>49</v>
      </c>
      <c r="M63">
        <v>43</v>
      </c>
      <c r="O63">
        <v>17</v>
      </c>
      <c r="P63" t="e">
        <f ca="1">_xludf.VAR.P(C63, D63, F63, G63)</f>
        <v>#NAME?</v>
      </c>
      <c r="Q63" s="1">
        <v>0.33333333333333331</v>
      </c>
      <c r="R63">
        <v>1.7</v>
      </c>
      <c r="S63">
        <v>1.96</v>
      </c>
      <c r="T63">
        <v>5</v>
      </c>
      <c r="U63">
        <v>0</v>
      </c>
      <c r="V63">
        <v>0</v>
      </c>
      <c r="W63">
        <v>0</v>
      </c>
      <c r="X63">
        <v>1</v>
      </c>
      <c r="Y63">
        <v>3</v>
      </c>
      <c r="Z63">
        <v>0</v>
      </c>
      <c r="AA63" t="s">
        <v>146</v>
      </c>
      <c r="AB63" t="s">
        <v>170</v>
      </c>
      <c r="AC63" s="2">
        <v>1</v>
      </c>
      <c r="AD63" t="s">
        <v>212</v>
      </c>
      <c r="AE63" s="2">
        <v>0</v>
      </c>
      <c r="AF63">
        <v>1</v>
      </c>
      <c r="AG63">
        <v>1</v>
      </c>
      <c r="AH63">
        <v>1.58</v>
      </c>
      <c r="AI63">
        <v>0</v>
      </c>
    </row>
    <row r="64" spans="1:35" x14ac:dyDescent="0.35">
      <c r="A64" t="s">
        <v>66</v>
      </c>
      <c r="B64" t="s">
        <v>95</v>
      </c>
      <c r="C64">
        <v>16</v>
      </c>
      <c r="D64">
        <v>5</v>
      </c>
      <c r="F64">
        <v>5</v>
      </c>
      <c r="G64">
        <v>16</v>
      </c>
      <c r="H64">
        <v>327</v>
      </c>
      <c r="I64">
        <v>88</v>
      </c>
      <c r="K64">
        <v>1375</v>
      </c>
      <c r="L64">
        <v>244</v>
      </c>
      <c r="M64">
        <v>326</v>
      </c>
      <c r="O64">
        <v>13</v>
      </c>
      <c r="P64" t="e">
        <f ca="1">_xludf.VAR.P(C64, D64, F64, G64)</f>
        <v>#NAME?</v>
      </c>
      <c r="Q64" s="1">
        <v>0.25888324873096452</v>
      </c>
      <c r="R64">
        <v>4.2048929663608563</v>
      </c>
      <c r="S64">
        <v>2.7727272727272729</v>
      </c>
      <c r="T64">
        <v>21</v>
      </c>
      <c r="U64">
        <v>1</v>
      </c>
      <c r="V64">
        <v>0</v>
      </c>
      <c r="W64">
        <v>0</v>
      </c>
      <c r="X64">
        <v>2</v>
      </c>
      <c r="Y64">
        <v>2</v>
      </c>
      <c r="Z64">
        <v>0</v>
      </c>
      <c r="AA64" t="s">
        <v>130</v>
      </c>
      <c r="AB64" t="s">
        <v>190</v>
      </c>
      <c r="AC64" s="2">
        <v>0.32900000000000001</v>
      </c>
      <c r="AD64" t="s">
        <v>219</v>
      </c>
      <c r="AE64" s="2">
        <v>0.43200000000000011</v>
      </c>
      <c r="AF64">
        <v>8</v>
      </c>
      <c r="AG64">
        <v>1</v>
      </c>
      <c r="AH64">
        <v>1.58</v>
      </c>
      <c r="AI64">
        <v>1</v>
      </c>
    </row>
    <row r="65" spans="1:35" x14ac:dyDescent="0.35">
      <c r="A65" s="8" t="s">
        <v>63</v>
      </c>
      <c r="B65" s="6" t="s">
        <v>95</v>
      </c>
      <c r="C65" s="6">
        <v>31</v>
      </c>
      <c r="D65" s="6">
        <v>5</v>
      </c>
      <c r="E65" s="6"/>
      <c r="F65" s="6">
        <v>7</v>
      </c>
      <c r="G65" s="6">
        <v>16</v>
      </c>
      <c r="H65" s="6">
        <v>137</v>
      </c>
      <c r="I65" s="6">
        <v>70</v>
      </c>
      <c r="J65" s="6"/>
      <c r="K65" s="6">
        <v>6884</v>
      </c>
      <c r="L65" s="6">
        <v>91</v>
      </c>
      <c r="M65" s="6">
        <v>161</v>
      </c>
      <c r="N65" s="6"/>
      <c r="O65" s="6">
        <v>13</v>
      </c>
      <c r="P65" s="6" t="e">
        <f ca="1">_xludf.VAR.P(C65, D65, F65, G65)</f>
        <v>#NAME?</v>
      </c>
      <c r="Q65" s="18">
        <v>0.99302730970366071</v>
      </c>
      <c r="R65" s="6">
        <v>50.248175182481752</v>
      </c>
      <c r="S65" s="6">
        <v>1.3</v>
      </c>
      <c r="T65" s="6">
        <v>8</v>
      </c>
      <c r="U65" s="6">
        <v>0</v>
      </c>
      <c r="V65" s="6">
        <v>0</v>
      </c>
      <c r="W65" s="6">
        <v>0</v>
      </c>
      <c r="X65" s="6">
        <v>3</v>
      </c>
      <c r="Y65" s="6">
        <v>0</v>
      </c>
      <c r="Z65" s="6">
        <v>0</v>
      </c>
      <c r="AA65" s="6" t="s">
        <v>127</v>
      </c>
      <c r="AB65" s="6" t="s">
        <v>187</v>
      </c>
      <c r="AC65" s="19">
        <v>0.98199999999999998</v>
      </c>
      <c r="AD65" s="6" t="s">
        <v>208</v>
      </c>
      <c r="AE65" s="19">
        <v>1.7000000000000001E-2</v>
      </c>
      <c r="AF65" s="6">
        <v>2</v>
      </c>
      <c r="AG65" s="6">
        <v>1</v>
      </c>
      <c r="AH65" s="6">
        <v>1.58</v>
      </c>
      <c r="AI65" s="6">
        <v>1</v>
      </c>
    </row>
  </sheetData>
  <mergeCells count="8">
    <mergeCell ref="Q1:S1"/>
    <mergeCell ref="T1:Z1"/>
    <mergeCell ref="AA1:AE1"/>
    <mergeCell ref="A1:B1"/>
    <mergeCell ref="C1:E1"/>
    <mergeCell ref="F1:G1"/>
    <mergeCell ref="H1:J1"/>
    <mergeCell ref="K1:N1"/>
  </mergeCells>
  <conditionalFormatting sqref="X3:X65">
    <cfRule type="cellIs" dxfId="0" priority="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Byers</cp:lastModifiedBy>
  <dcterms:created xsi:type="dcterms:W3CDTF">2025-03-17T02:28:19Z</dcterms:created>
  <dcterms:modified xsi:type="dcterms:W3CDTF">2025-03-18T06:35:33Z</dcterms:modified>
</cp:coreProperties>
</file>